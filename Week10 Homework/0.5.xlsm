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wonbi\Downloads\"/>
    </mc:Choice>
  </mc:AlternateContent>
  <xr:revisionPtr revIDLastSave="0" documentId="13_ncr:1_{785EDD7B-D5FF-41C4-82A3-54D04B42D573}" xr6:coauthVersionLast="47" xr6:coauthVersionMax="47" xr10:uidLastSave="{00000000-0000-0000-0000-000000000000}"/>
  <bookViews>
    <workbookView xWindow="-120" yWindow="-120" windowWidth="38640" windowHeight="21120" xr2:uid="{4D9460B0-E1FA-4B29-8710-2F088DAEABA1}"/>
  </bookViews>
  <sheets>
    <sheet name="0.5" sheetId="1" r:id="rId1"/>
  </sheets>
  <definedNames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2" i="1"/>
  <c r="F3" i="1"/>
  <c r="F2" i="1"/>
  <c r="G2" i="1" l="1"/>
  <c r="I2" i="1" s="1"/>
  <c r="I77" i="1" l="1"/>
  <c r="I13" i="1"/>
  <c r="I78" i="1"/>
  <c r="I30" i="1"/>
  <c r="I25" i="1"/>
  <c r="I6" i="1"/>
  <c r="I42" i="1"/>
  <c r="I46" i="1"/>
  <c r="I58" i="1"/>
  <c r="I47" i="1"/>
  <c r="I74" i="1"/>
  <c r="I15" i="1"/>
  <c r="I10" i="1"/>
  <c r="I80" i="1"/>
  <c r="I26" i="1"/>
  <c r="I49" i="1"/>
  <c r="I51" i="1"/>
  <c r="I17" i="1"/>
  <c r="I3" i="1"/>
  <c r="I34" i="1"/>
  <c r="I35" i="1"/>
  <c r="I68" i="1"/>
  <c r="I76" i="1"/>
  <c r="I4" i="1"/>
  <c r="I28" i="1"/>
  <c r="I53" i="1"/>
  <c r="I64" i="1"/>
  <c r="I22" i="1"/>
  <c r="I75" i="1"/>
  <c r="I66" i="1"/>
  <c r="I55" i="1"/>
  <c r="I67" i="1"/>
  <c r="I62" i="1"/>
  <c r="I8" i="1"/>
  <c r="I72" i="1"/>
  <c r="I52" i="1"/>
  <c r="I63" i="1"/>
  <c r="I31" i="1"/>
  <c r="I16" i="1"/>
  <c r="I44" i="1"/>
  <c r="I32" i="1"/>
  <c r="I29" i="1"/>
  <c r="I39" i="1"/>
  <c r="I79" i="1"/>
  <c r="I24" i="1"/>
  <c r="I65" i="1"/>
  <c r="I37" i="1"/>
  <c r="I21" i="1"/>
  <c r="I5" i="1"/>
  <c r="I70" i="1"/>
  <c r="I54" i="1"/>
  <c r="I38" i="1"/>
  <c r="I60" i="1"/>
  <c r="I61" i="1"/>
  <c r="I71" i="1"/>
  <c r="I19" i="1"/>
  <c r="I20" i="1"/>
  <c r="I57" i="1"/>
  <c r="I36" i="1"/>
  <c r="I27" i="1"/>
  <c r="I59" i="1"/>
  <c r="I69" i="1"/>
  <c r="I50" i="1"/>
  <c r="I33" i="1"/>
  <c r="I43" i="1"/>
  <c r="I45" i="1"/>
  <c r="I23" i="1"/>
  <c r="I14" i="1"/>
  <c r="I56" i="1"/>
  <c r="I40" i="1"/>
  <c r="I48" i="1"/>
  <c r="I73" i="1"/>
  <c r="I12" i="1"/>
  <c r="I11" i="1"/>
  <c r="I9" i="1"/>
  <c r="I18" i="1"/>
  <c r="I7" i="1"/>
</calcChain>
</file>

<file path=xl/sharedStrings.xml><?xml version="1.0" encoding="utf-8"?>
<sst xmlns="http://schemas.openxmlformats.org/spreadsheetml/2006/main" count="4" uniqueCount="4">
  <si>
    <t>Points_1</t>
  </si>
  <si>
    <t>Pressure_Coefficient</t>
  </si>
  <si>
    <t>x/c</t>
    <phoneticPr fontId="18" type="noConversion"/>
  </si>
  <si>
    <t>Cp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</si>
</sst>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'0.5'!$J$1</c:f>
              <c:strCache>
                <c:ptCount val="1"/>
                <c:pt idx="0">
                  <c:v>Cp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'0.5'!$I$2:$I$82</c:f>
              <c:numCache>
                <c:formatCode>General</c:formatCode>
                <c:ptCount val="81"/>
                <c:pt idx="0">
                  <c:v>-6.0581460861347256E-3</c:v>
                </c:pt>
                <c:pt idx="1">
                  <c:v>-1.3400619142530035E-2</c:v>
                </c:pt>
                <c:pt idx="2">
                  <c:v>-2.2269745012631223E-2</c:v>
                </c:pt>
                <c:pt idx="3">
                  <c:v>-3.2956314708572881E-2</c:v>
                </c:pt>
                <c:pt idx="4">
                  <c:v>-4.576323553466171E-2</c:v>
                </c:pt>
                <c:pt idx="5">
                  <c:v>-6.1047938109979591E-2</c:v>
                </c:pt>
                <c:pt idx="6">
                  <c:v>-7.9186027491866928E-2</c:v>
                </c:pt>
                <c:pt idx="7">
                  <c:v>-0.1005531087376641</c:v>
                </c:pt>
                <c:pt idx="8">
                  <c:v>-0.12551872875862527</c:v>
                </c:pt>
                <c:pt idx="9">
                  <c:v>-0.15440639255575012</c:v>
                </c:pt>
                <c:pt idx="10">
                  <c:v>-0.18747175389387344</c:v>
                </c:pt>
                <c:pt idx="11">
                  <c:v>-0.22483658150932656</c:v>
                </c:pt>
                <c:pt idx="12">
                  <c:v>-0.26645907419411513</c:v>
                </c:pt>
                <c:pt idx="13">
                  <c:v>-0.31208903051488185</c:v>
                </c:pt>
                <c:pt idx="14">
                  <c:v>-0.36124240459934454</c:v>
                </c:pt>
                <c:pt idx="15">
                  <c:v>-0.4132007003216876</c:v>
                </c:pt>
                <c:pt idx="16">
                  <c:v>-0.46703580970151509</c:v>
                </c:pt>
                <c:pt idx="17">
                  <c:v>-0.52166817110627794</c:v>
                </c:pt>
                <c:pt idx="18">
                  <c:v>-0.5759479484088279</c:v>
                </c:pt>
                <c:pt idx="19">
                  <c:v>-0.62874772062253503</c:v>
                </c:pt>
                <c:pt idx="20">
                  <c:v>-0.6790533540925805</c:v>
                </c:pt>
                <c:pt idx="21">
                  <c:v>-0.72603470106078127</c:v>
                </c:pt>
                <c:pt idx="22">
                  <c:v>-0.76908952122471486</c:v>
                </c:pt>
                <c:pt idx="23">
                  <c:v>-0.80785553744842997</c:v>
                </c:pt>
                <c:pt idx="24">
                  <c:v>-0.84219619911914545</c:v>
                </c:pt>
                <c:pt idx="25">
                  <c:v>-0.87216645362186263</c:v>
                </c:pt>
                <c:pt idx="26">
                  <c:v>-0.89796628035888459</c:v>
                </c:pt>
                <c:pt idx="27">
                  <c:v>-0.91989676919069219</c:v>
                </c:pt>
                <c:pt idx="28">
                  <c:v>-0.93831474492175904</c:v>
                </c:pt>
                <c:pt idx="29">
                  <c:v>-0.95359702423864234</c:v>
                </c:pt>
                <c:pt idx="30">
                  <c:v>-0.96611436568181386</c:v>
                </c:pt>
                <c:pt idx="31">
                  <c:v>-0.97621147776357475</c:v>
                </c:pt>
                <c:pt idx="32">
                  <c:v>-0.98419126778823141</c:v>
                </c:pt>
                <c:pt idx="33">
                  <c:v>-0.99030999533522734</c:v>
                </c:pt>
                <c:pt idx="34">
                  <c:v>-0.99477121411305713</c:v>
                </c:pt>
                <c:pt idx="35">
                  <c:v>-0.99758582878467517</c:v>
                </c:pt>
                <c:pt idx="36">
                  <c:v>-0.99916215839628753</c:v>
                </c:pt>
                <c:pt idx="37">
                  <c:v>-0.99986793241532212</c:v>
                </c:pt>
                <c:pt idx="38">
                  <c:v>-1</c:v>
                </c:pt>
                <c:pt idx="40">
                  <c:v>0</c:v>
                </c:pt>
                <c:pt idx="41">
                  <c:v>-5.8279365348616287E-3</c:v>
                </c:pt>
                <c:pt idx="42">
                  <c:v>-1.2879618579122433E-2</c:v>
                </c:pt>
                <c:pt idx="43">
                  <c:v>-2.14155464144863E-2</c:v>
                </c:pt>
                <c:pt idx="44">
                  <c:v>-3.1690162176570717E-2</c:v>
                </c:pt>
                <c:pt idx="45">
                  <c:v>-4.402454760794107E-2</c:v>
                </c:pt>
                <c:pt idx="46">
                  <c:v>-5.8745842597248452E-2</c:v>
                </c:pt>
                <c:pt idx="47">
                  <c:v>-7.6229652201833253E-2</c:v>
                </c:pt>
                <c:pt idx="48">
                  <c:v>-9.6845523332949643E-2</c:v>
                </c:pt>
                <c:pt idx="49">
                  <c:v>-0.12095088660967976</c:v>
                </c:pt>
                <c:pt idx="50">
                  <c:v>-0.14888318076902107</c:v>
                </c:pt>
                <c:pt idx="51">
                  <c:v>-0.18088654909824498</c:v>
                </c:pt>
                <c:pt idx="52">
                  <c:v>-0.2171003289573325</c:v>
                </c:pt>
                <c:pt idx="53">
                  <c:v>-0.25749968194733047</c:v>
                </c:pt>
                <c:pt idx="54">
                  <c:v>-0.30186045666305195</c:v>
                </c:pt>
                <c:pt idx="55">
                  <c:v>-0.34973677355255745</c:v>
                </c:pt>
                <c:pt idx="56">
                  <c:v>-0.40045314932724291</c:v>
                </c:pt>
                <c:pt idx="57">
                  <c:v>-0.45313236443383598</c:v>
                </c:pt>
                <c:pt idx="58">
                  <c:v>-0.50674938055456265</c:v>
                </c:pt>
                <c:pt idx="59">
                  <c:v>-0.56020524998939825</c:v>
                </c:pt>
                <c:pt idx="60">
                  <c:v>-0.61241677621814172</c:v>
                </c:pt>
                <c:pt idx="61">
                  <c:v>-0.66239769305797036</c:v>
                </c:pt>
                <c:pt idx="62">
                  <c:v>-0.70933118067209067</c:v>
                </c:pt>
                <c:pt idx="63">
                  <c:v>-0.75260799554120439</c:v>
                </c:pt>
                <c:pt idx="64">
                  <c:v>-0.7918441602500802</c:v>
                </c:pt>
                <c:pt idx="65">
                  <c:v>-0.82686969533583321</c:v>
                </c:pt>
                <c:pt idx="66">
                  <c:v>-0.85769838913895557</c:v>
                </c:pt>
                <c:pt idx="67">
                  <c:v>-0.88449175183410367</c:v>
                </c:pt>
                <c:pt idx="68">
                  <c:v>-0.90751028370298126</c:v>
                </c:pt>
                <c:pt idx="69">
                  <c:v>-0.92707870137580484</c:v>
                </c:pt>
                <c:pt idx="70">
                  <c:v>-0.94354837732557084</c:v>
                </c:pt>
                <c:pt idx="71">
                  <c:v>-0.95727068402527449</c:v>
                </c:pt>
                <c:pt idx="72">
                  <c:v>-0.96857700206582764</c:v>
                </c:pt>
                <c:pt idx="73">
                  <c:v>-0.97776296897623372</c:v>
                </c:pt>
                <c:pt idx="74">
                  <c:v>-0.98507757456063294</c:v>
                </c:pt>
                <c:pt idx="75">
                  <c:v>-0.99071892019604157</c:v>
                </c:pt>
                <c:pt idx="76">
                  <c:v>-0.99483967116383032</c:v>
                </c:pt>
                <c:pt idx="77">
                  <c:v>-0.99774394639752328</c:v>
                </c:pt>
                <c:pt idx="78">
                  <c:v>-0.99940327261051576</c:v>
                </c:pt>
              </c:numCache>
            </c:numRef>
          </c:xVal>
          <c:yVal>
            <c:numRef>
              <c:f>'0.5'!$J$2:$J$82</c:f>
              <c:numCache>
                <c:formatCode>General</c:formatCode>
                <c:ptCount val="81"/>
                <c:pt idx="0">
                  <c:v>0.28560799999999997</c:v>
                </c:pt>
                <c:pt idx="1">
                  <c:v>0.14643800000000001</c:v>
                </c:pt>
                <c:pt idx="2">
                  <c:v>2.2761199999999999E-2</c:v>
                </c:pt>
                <c:pt idx="3">
                  <c:v>0.12865199999999999</c:v>
                </c:pt>
                <c:pt idx="4">
                  <c:v>2.20804E-2</c:v>
                </c:pt>
                <c:pt idx="5">
                  <c:v>2.4957300000000002E-2</c:v>
                </c:pt>
                <c:pt idx="6">
                  <c:v>3.5835100000000002E-2</c:v>
                </c:pt>
                <c:pt idx="7">
                  <c:v>9.14623E-3</c:v>
                </c:pt>
                <c:pt idx="8">
                  <c:v>1.2819000000000001E-2</c:v>
                </c:pt>
                <c:pt idx="9">
                  <c:v>3.5798700000000002E-3</c:v>
                </c:pt>
                <c:pt idx="10">
                  <c:v>-3.4638E-3</c:v>
                </c:pt>
                <c:pt idx="11">
                  <c:v>-5.2151699999999999E-3</c:v>
                </c:pt>
                <c:pt idx="12">
                  <c:v>-1.11488E-2</c:v>
                </c:pt>
                <c:pt idx="13">
                  <c:v>-1.4581200000000001E-2</c:v>
                </c:pt>
                <c:pt idx="14">
                  <c:v>-1.9495499999999999E-2</c:v>
                </c:pt>
                <c:pt idx="15">
                  <c:v>-2.3305699999999999E-2</c:v>
                </c:pt>
                <c:pt idx="16">
                  <c:v>-2.75807E-2</c:v>
                </c:pt>
                <c:pt idx="17">
                  <c:v>-3.11325E-2</c:v>
                </c:pt>
                <c:pt idx="18">
                  <c:v>-3.3675200000000002E-2</c:v>
                </c:pt>
                <c:pt idx="19">
                  <c:v>-3.8615099999999999E-2</c:v>
                </c:pt>
                <c:pt idx="20">
                  <c:v>-3.8838299999999999E-2</c:v>
                </c:pt>
                <c:pt idx="21">
                  <c:v>-4.2786400000000002E-2</c:v>
                </c:pt>
                <c:pt idx="22">
                  <c:v>-3.9296299999999999E-2</c:v>
                </c:pt>
                <c:pt idx="23">
                  <c:v>-4.2808499999999999E-2</c:v>
                </c:pt>
                <c:pt idx="24">
                  <c:v>-3.5621699999999999E-2</c:v>
                </c:pt>
                <c:pt idx="25">
                  <c:v>-3.6000699999999997E-2</c:v>
                </c:pt>
                <c:pt idx="26">
                  <c:v>-2.0577399999999999E-2</c:v>
                </c:pt>
                <c:pt idx="27">
                  <c:v>-2.27101E-2</c:v>
                </c:pt>
                <c:pt idx="28">
                  <c:v>-7.4120100000000001E-3</c:v>
                </c:pt>
                <c:pt idx="29">
                  <c:v>7.0735599999999996E-3</c:v>
                </c:pt>
                <c:pt idx="30">
                  <c:v>2.9023299999999998E-2</c:v>
                </c:pt>
                <c:pt idx="31">
                  <c:v>4.0532400000000003E-2</c:v>
                </c:pt>
                <c:pt idx="32">
                  <c:v>5.59114E-2</c:v>
                </c:pt>
                <c:pt idx="33">
                  <c:v>0.124019</c:v>
                </c:pt>
                <c:pt idx="34">
                  <c:v>8.4029599999999996E-2</c:v>
                </c:pt>
                <c:pt idx="35">
                  <c:v>6.2370099999999998E-2</c:v>
                </c:pt>
                <c:pt idx="36">
                  <c:v>3.6739800000000003E-2</c:v>
                </c:pt>
                <c:pt idx="37">
                  <c:v>9.3623300000000007E-2</c:v>
                </c:pt>
                <c:pt idx="38">
                  <c:v>0.113293</c:v>
                </c:pt>
                <c:pt idx="40">
                  <c:v>-5.9693299999999998E-2</c:v>
                </c:pt>
                <c:pt idx="41">
                  <c:v>0.28028500000000001</c:v>
                </c:pt>
                <c:pt idx="42">
                  <c:v>0.110069</c:v>
                </c:pt>
                <c:pt idx="43">
                  <c:v>1.8885099999999998E-2</c:v>
                </c:pt>
                <c:pt idx="44">
                  <c:v>9.7362099999999993E-2</c:v>
                </c:pt>
                <c:pt idx="45">
                  <c:v>1.09931E-2</c:v>
                </c:pt>
                <c:pt idx="46">
                  <c:v>2.7939499999999999E-2</c:v>
                </c:pt>
                <c:pt idx="47">
                  <c:v>2.1995899999999999E-2</c:v>
                </c:pt>
                <c:pt idx="48">
                  <c:v>-4.14373E-3</c:v>
                </c:pt>
                <c:pt idx="49">
                  <c:v>-4.6417300000000002E-4</c:v>
                </c:pt>
                <c:pt idx="50">
                  <c:v>-1.10209E-2</c:v>
                </c:pt>
                <c:pt idx="51">
                  <c:v>-1.6821099999999999E-2</c:v>
                </c:pt>
                <c:pt idx="52">
                  <c:v>-2.2758199999999999E-2</c:v>
                </c:pt>
                <c:pt idx="53">
                  <c:v>-3.09275E-2</c:v>
                </c:pt>
                <c:pt idx="54">
                  <c:v>-3.7652999999999999E-2</c:v>
                </c:pt>
                <c:pt idx="55">
                  <c:v>-4.6331600000000001E-2</c:v>
                </c:pt>
                <c:pt idx="56">
                  <c:v>-5.34998E-2</c:v>
                </c:pt>
                <c:pt idx="57">
                  <c:v>-6.1662700000000001E-2</c:v>
                </c:pt>
                <c:pt idx="58">
                  <c:v>-6.9757399999999997E-2</c:v>
                </c:pt>
                <c:pt idx="59">
                  <c:v>-8.0547599999999997E-2</c:v>
                </c:pt>
                <c:pt idx="60">
                  <c:v>-8.9794100000000002E-2</c:v>
                </c:pt>
                <c:pt idx="61">
                  <c:v>-9.8093E-2</c:v>
                </c:pt>
                <c:pt idx="62">
                  <c:v>-0.108641</c:v>
                </c:pt>
                <c:pt idx="63">
                  <c:v>-0.117935</c:v>
                </c:pt>
                <c:pt idx="64">
                  <c:v>-0.12463</c:v>
                </c:pt>
                <c:pt idx="65">
                  <c:v>-0.13371</c:v>
                </c:pt>
                <c:pt idx="66">
                  <c:v>-0.14089499999999999</c:v>
                </c:pt>
                <c:pt idx="67">
                  <c:v>-0.14716000000000001</c:v>
                </c:pt>
                <c:pt idx="68">
                  <c:v>-0.15553400000000001</c:v>
                </c:pt>
                <c:pt idx="69">
                  <c:v>-0.16900100000000001</c:v>
                </c:pt>
                <c:pt idx="70">
                  <c:v>-0.161658</c:v>
                </c:pt>
                <c:pt idx="71">
                  <c:v>-0.177812</c:v>
                </c:pt>
                <c:pt idx="72">
                  <c:v>-0.16216700000000001</c:v>
                </c:pt>
                <c:pt idx="73">
                  <c:v>-0.13753399999999999</c:v>
                </c:pt>
                <c:pt idx="74">
                  <c:v>-0.10760500000000001</c:v>
                </c:pt>
                <c:pt idx="75">
                  <c:v>-5.3733499999999997E-2</c:v>
                </c:pt>
                <c:pt idx="76">
                  <c:v>-2.8615600000000001E-2</c:v>
                </c:pt>
                <c:pt idx="77">
                  <c:v>0.20088300000000001</c:v>
                </c:pt>
                <c:pt idx="78">
                  <c:v>9.1226000000000002E-2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A4-4C3F-8C21-B8610F4F9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735760"/>
        <c:axId val="173737200"/>
      </c:scatterChart>
      <c:valAx>
        <c:axId val="17373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737200"/>
        <c:crosses val="autoZero"/>
        <c:crossBetween val="midCat"/>
      </c:valAx>
      <c:valAx>
        <c:axId val="17373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735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263525</xdr:colOff>
      <xdr:row>7</xdr:row>
      <xdr:rowOff>196850</xdr:rowOff>
    </xdr:from>
    <xdr:to>
      <xdr:col>17</xdr:col>
      <xdr:colOff>212725</xdr:colOff>
      <xdr:row>20</xdr:row>
      <xdr:rowOff>133350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A87900C3-E9E3-8945-403B-7B662599A0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C482F-C8F8-4B3A-990E-2B38B0BCEFA5}">
  <dimension ref="A1:J80"/>
  <sheetViews>
    <sheetView tabSelected="1" workbookViewId="0">
      <selection activeCell="O40" sqref="O40"/>
    </sheetView>
  </sheetViews>
  <sheetFormatPr defaultRowHeight="16.5" x14ac:dyDescent="0.3"/>
  <cols>
    <col min="15" max="15" width="12.375" bestFit="1" customWidth="1"/>
  </cols>
  <sheetData>
    <row r="1" spans="1:10" x14ac:dyDescent="0.3">
      <c r="B1" t="s">
        <v>0</v>
      </c>
      <c r="C1" t="s">
        <v>1</v>
      </c>
      <c r="I1" t="s">
        <v>2</v>
      </c>
      <c r="J1" t="s">
        <v>3</v>
      </c>
    </row>
    <row r="2" spans="1:10" x14ac:dyDescent="0.3">
      <c r="A2">
        <v>2</v>
      </c>
      <c r="B2">
        <v>0.122784</v>
      </c>
      <c r="C2">
        <v>0.28560799999999997</v>
      </c>
      <c r="F2">
        <f>MAX(B2:B80)</f>
        <v>0.12378400000000001</v>
      </c>
      <c r="G2">
        <f>F2-F3</f>
        <v>0.16506700000000002</v>
      </c>
      <c r="I2">
        <f>(B2-$F$2)/$G$2</f>
        <v>-6.0581460861347256E-3</v>
      </c>
      <c r="J2">
        <f>C2</f>
        <v>0.28560799999999997</v>
      </c>
    </row>
    <row r="3" spans="1:10" x14ac:dyDescent="0.3">
      <c r="A3">
        <v>2</v>
      </c>
      <c r="B3">
        <v>0.121572</v>
      </c>
      <c r="C3">
        <v>0.14643800000000001</v>
      </c>
      <c r="F3">
        <f>MIN(B2:B80)</f>
        <v>-4.1283E-2</v>
      </c>
      <c r="I3">
        <f t="shared" ref="I3:I67" si="0">(B3-$F$2)/$G$2</f>
        <v>-1.3400619142530035E-2</v>
      </c>
      <c r="J3">
        <f t="shared" ref="J3:J67" si="1">C3</f>
        <v>0.14643800000000001</v>
      </c>
    </row>
    <row r="4" spans="1:10" x14ac:dyDescent="0.3">
      <c r="A4">
        <v>2</v>
      </c>
      <c r="B4">
        <v>0.12010800000000001</v>
      </c>
      <c r="C4">
        <v>2.2761199999999999E-2</v>
      </c>
      <c r="I4">
        <f t="shared" si="0"/>
        <v>-2.2269745012631223E-2</v>
      </c>
      <c r="J4">
        <f t="shared" si="1"/>
        <v>2.2761199999999999E-2</v>
      </c>
    </row>
    <row r="5" spans="1:10" x14ac:dyDescent="0.3">
      <c r="A5">
        <v>2</v>
      </c>
      <c r="B5">
        <v>0.118344</v>
      </c>
      <c r="C5">
        <v>0.12865199999999999</v>
      </c>
      <c r="I5">
        <f t="shared" si="0"/>
        <v>-3.2956314708572881E-2</v>
      </c>
      <c r="J5">
        <f t="shared" si="1"/>
        <v>0.12865199999999999</v>
      </c>
    </row>
    <row r="6" spans="1:10" x14ac:dyDescent="0.3">
      <c r="A6">
        <v>2</v>
      </c>
      <c r="B6">
        <v>0.11623</v>
      </c>
      <c r="C6">
        <v>2.20804E-2</v>
      </c>
      <c r="I6">
        <f t="shared" si="0"/>
        <v>-4.576323553466171E-2</v>
      </c>
      <c r="J6">
        <f t="shared" si="1"/>
        <v>2.20804E-2</v>
      </c>
    </row>
    <row r="7" spans="1:10" x14ac:dyDescent="0.3">
      <c r="A7">
        <v>2</v>
      </c>
      <c r="B7">
        <v>0.113707</v>
      </c>
      <c r="C7">
        <v>2.4957300000000002E-2</v>
      </c>
      <c r="I7">
        <f t="shared" si="0"/>
        <v>-6.1047938109979591E-2</v>
      </c>
      <c r="J7">
        <f t="shared" si="1"/>
        <v>2.4957300000000002E-2</v>
      </c>
    </row>
    <row r="8" spans="1:10" x14ac:dyDescent="0.3">
      <c r="A8">
        <v>2</v>
      </c>
      <c r="B8">
        <v>0.11071300000000001</v>
      </c>
      <c r="C8">
        <v>3.5835100000000002E-2</v>
      </c>
      <c r="I8">
        <f t="shared" si="0"/>
        <v>-7.9186027491866928E-2</v>
      </c>
      <c r="J8">
        <f t="shared" si="1"/>
        <v>3.5835100000000002E-2</v>
      </c>
    </row>
    <row r="9" spans="1:10" x14ac:dyDescent="0.3">
      <c r="A9">
        <v>2</v>
      </c>
      <c r="B9">
        <v>0.107186</v>
      </c>
      <c r="C9">
        <v>9.14623E-3</v>
      </c>
      <c r="I9">
        <f t="shared" si="0"/>
        <v>-0.1005531087376641</v>
      </c>
      <c r="J9">
        <f t="shared" si="1"/>
        <v>9.14623E-3</v>
      </c>
    </row>
    <row r="10" spans="1:10" x14ac:dyDescent="0.3">
      <c r="A10">
        <v>2</v>
      </c>
      <c r="B10">
        <v>0.103065</v>
      </c>
      <c r="C10">
        <v>1.2819000000000001E-2</v>
      </c>
      <c r="I10">
        <f t="shared" si="0"/>
        <v>-0.12551872875862527</v>
      </c>
      <c r="J10">
        <f t="shared" si="1"/>
        <v>1.2819000000000001E-2</v>
      </c>
    </row>
    <row r="11" spans="1:10" x14ac:dyDescent="0.3">
      <c r="A11">
        <v>2</v>
      </c>
      <c r="B11">
        <v>9.8296599999999998E-2</v>
      </c>
      <c r="C11">
        <v>3.5798700000000002E-3</v>
      </c>
      <c r="I11">
        <f t="shared" si="0"/>
        <v>-0.15440639255575012</v>
      </c>
      <c r="J11">
        <f t="shared" si="1"/>
        <v>3.5798700000000002E-3</v>
      </c>
    </row>
    <row r="12" spans="1:10" x14ac:dyDescent="0.3">
      <c r="A12">
        <v>2</v>
      </c>
      <c r="B12">
        <v>9.2838599999999993E-2</v>
      </c>
      <c r="C12">
        <v>-3.4638E-3</v>
      </c>
      <c r="I12">
        <f t="shared" si="0"/>
        <v>-0.18747175389387344</v>
      </c>
      <c r="J12">
        <f t="shared" si="1"/>
        <v>-3.4638E-3</v>
      </c>
    </row>
    <row r="13" spans="1:10" x14ac:dyDescent="0.3">
      <c r="A13">
        <v>2</v>
      </c>
      <c r="B13">
        <v>8.6670899999999995E-2</v>
      </c>
      <c r="C13">
        <v>-5.2151699999999999E-3</v>
      </c>
      <c r="I13">
        <f t="shared" si="0"/>
        <v>-0.22483658150932656</v>
      </c>
      <c r="J13">
        <f t="shared" si="1"/>
        <v>-5.2151699999999999E-3</v>
      </c>
    </row>
    <row r="14" spans="1:10" x14ac:dyDescent="0.3">
      <c r="A14">
        <v>2</v>
      </c>
      <c r="B14">
        <v>7.9800399999999994E-2</v>
      </c>
      <c r="C14">
        <v>-1.11488E-2</v>
      </c>
      <c r="I14">
        <f t="shared" si="0"/>
        <v>-0.26645907419411513</v>
      </c>
      <c r="J14">
        <f t="shared" si="1"/>
        <v>-1.11488E-2</v>
      </c>
    </row>
    <row r="15" spans="1:10" x14ac:dyDescent="0.3">
      <c r="A15">
        <v>2</v>
      </c>
      <c r="B15">
        <v>7.2268399999999997E-2</v>
      </c>
      <c r="C15">
        <v>-1.4581200000000001E-2</v>
      </c>
      <c r="I15">
        <f t="shared" si="0"/>
        <v>-0.31208903051488185</v>
      </c>
      <c r="J15">
        <f t="shared" si="1"/>
        <v>-1.4581200000000001E-2</v>
      </c>
    </row>
    <row r="16" spans="1:10" x14ac:dyDescent="0.3">
      <c r="A16">
        <v>2</v>
      </c>
      <c r="B16">
        <v>6.4154799999999998E-2</v>
      </c>
      <c r="C16">
        <v>-1.9495499999999999E-2</v>
      </c>
      <c r="I16">
        <f t="shared" si="0"/>
        <v>-0.36124240459934454</v>
      </c>
      <c r="J16">
        <f t="shared" si="1"/>
        <v>-1.9495499999999999E-2</v>
      </c>
    </row>
    <row r="17" spans="1:10" x14ac:dyDescent="0.3">
      <c r="A17">
        <v>2</v>
      </c>
      <c r="B17">
        <v>5.5578200000000001E-2</v>
      </c>
      <c r="C17">
        <v>-2.3305699999999999E-2</v>
      </c>
      <c r="I17">
        <f t="shared" si="0"/>
        <v>-0.4132007003216876</v>
      </c>
      <c r="J17">
        <f t="shared" si="1"/>
        <v>-2.3305699999999999E-2</v>
      </c>
    </row>
    <row r="18" spans="1:10" x14ac:dyDescent="0.3">
      <c r="A18">
        <v>2</v>
      </c>
      <c r="B18">
        <v>4.6691799999999999E-2</v>
      </c>
      <c r="C18">
        <v>-2.75807E-2</v>
      </c>
      <c r="I18">
        <f t="shared" si="0"/>
        <v>-0.46703580970151509</v>
      </c>
      <c r="J18">
        <f t="shared" si="1"/>
        <v>-2.75807E-2</v>
      </c>
    </row>
    <row r="19" spans="1:10" x14ac:dyDescent="0.3">
      <c r="A19">
        <v>2</v>
      </c>
      <c r="B19">
        <v>3.76738E-2</v>
      </c>
      <c r="C19">
        <v>-3.11325E-2</v>
      </c>
      <c r="I19">
        <f t="shared" si="0"/>
        <v>-0.52166817110627794</v>
      </c>
      <c r="J19">
        <f t="shared" si="1"/>
        <v>-3.11325E-2</v>
      </c>
    </row>
    <row r="20" spans="1:10" x14ac:dyDescent="0.3">
      <c r="A20">
        <v>2</v>
      </c>
      <c r="B20">
        <v>2.8714E-2</v>
      </c>
      <c r="C20">
        <v>-3.3675200000000002E-2</v>
      </c>
      <c r="I20">
        <f t="shared" si="0"/>
        <v>-0.5759479484088279</v>
      </c>
      <c r="J20">
        <f t="shared" si="1"/>
        <v>-3.3675200000000002E-2</v>
      </c>
    </row>
    <row r="21" spans="1:10" x14ac:dyDescent="0.3">
      <c r="A21">
        <v>2</v>
      </c>
      <c r="B21">
        <v>1.9998499999999999E-2</v>
      </c>
      <c r="C21">
        <v>-3.8615099999999999E-2</v>
      </c>
      <c r="I21">
        <f t="shared" si="0"/>
        <v>-0.62874772062253503</v>
      </c>
      <c r="J21">
        <f t="shared" si="1"/>
        <v>-3.8615099999999999E-2</v>
      </c>
    </row>
    <row r="22" spans="1:10" x14ac:dyDescent="0.3">
      <c r="A22">
        <v>2</v>
      </c>
      <c r="B22">
        <v>1.1694700000000001E-2</v>
      </c>
      <c r="C22">
        <v>-3.8838299999999999E-2</v>
      </c>
      <c r="I22">
        <f t="shared" si="0"/>
        <v>-0.6790533540925805</v>
      </c>
      <c r="J22">
        <f t="shared" si="1"/>
        <v>-3.8838299999999999E-2</v>
      </c>
    </row>
    <row r="23" spans="1:10" x14ac:dyDescent="0.3">
      <c r="A23">
        <v>2</v>
      </c>
      <c r="B23">
        <v>3.9396300000000004E-3</v>
      </c>
      <c r="C23">
        <v>-4.2786400000000002E-2</v>
      </c>
      <c r="I23">
        <f t="shared" si="0"/>
        <v>-0.72603470106078127</v>
      </c>
      <c r="J23">
        <f t="shared" si="1"/>
        <v>-4.2786400000000002E-2</v>
      </c>
    </row>
    <row r="24" spans="1:10" x14ac:dyDescent="0.3">
      <c r="A24">
        <v>2</v>
      </c>
      <c r="B24">
        <v>-3.1673000000000001E-3</v>
      </c>
      <c r="C24">
        <v>-3.9296299999999999E-2</v>
      </c>
      <c r="I24">
        <f t="shared" si="0"/>
        <v>-0.76908952122471486</v>
      </c>
      <c r="J24">
        <f t="shared" si="1"/>
        <v>-3.9296299999999999E-2</v>
      </c>
    </row>
    <row r="25" spans="1:10" x14ac:dyDescent="0.3">
      <c r="A25">
        <v>2</v>
      </c>
      <c r="B25">
        <v>-9.5662899999999999E-3</v>
      </c>
      <c r="C25">
        <v>-4.2808499999999999E-2</v>
      </c>
      <c r="I25">
        <f t="shared" si="0"/>
        <v>-0.80785553744842997</v>
      </c>
      <c r="J25">
        <f t="shared" si="1"/>
        <v>-4.2808499999999999E-2</v>
      </c>
    </row>
    <row r="26" spans="1:10" x14ac:dyDescent="0.3">
      <c r="A26">
        <v>2</v>
      </c>
      <c r="B26">
        <v>-1.52348E-2</v>
      </c>
      <c r="C26">
        <v>-3.5621699999999999E-2</v>
      </c>
      <c r="I26">
        <f t="shared" si="0"/>
        <v>-0.84219619911914545</v>
      </c>
      <c r="J26">
        <f t="shared" si="1"/>
        <v>-3.5621699999999999E-2</v>
      </c>
    </row>
    <row r="27" spans="1:10" x14ac:dyDescent="0.3">
      <c r="A27">
        <v>2</v>
      </c>
      <c r="B27">
        <v>-2.0181899999999999E-2</v>
      </c>
      <c r="C27">
        <v>-3.6000699999999997E-2</v>
      </c>
      <c r="I27">
        <f t="shared" si="0"/>
        <v>-0.87216645362186263</v>
      </c>
      <c r="J27">
        <f t="shared" si="1"/>
        <v>-3.6000699999999997E-2</v>
      </c>
    </row>
    <row r="28" spans="1:10" x14ac:dyDescent="0.3">
      <c r="A28">
        <v>2</v>
      </c>
      <c r="B28">
        <v>-2.44406E-2</v>
      </c>
      <c r="C28">
        <v>-2.0577399999999999E-2</v>
      </c>
      <c r="I28">
        <f t="shared" si="0"/>
        <v>-0.89796628035888459</v>
      </c>
      <c r="J28">
        <f t="shared" si="1"/>
        <v>-2.0577399999999999E-2</v>
      </c>
    </row>
    <row r="29" spans="1:10" x14ac:dyDescent="0.3">
      <c r="A29">
        <v>2</v>
      </c>
      <c r="B29">
        <v>-2.8060600000000002E-2</v>
      </c>
      <c r="C29">
        <v>-2.27101E-2</v>
      </c>
      <c r="I29">
        <f t="shared" si="0"/>
        <v>-0.91989676919069219</v>
      </c>
      <c r="J29">
        <f t="shared" si="1"/>
        <v>-2.27101E-2</v>
      </c>
    </row>
    <row r="30" spans="1:10" x14ac:dyDescent="0.3">
      <c r="A30">
        <v>2</v>
      </c>
      <c r="B30">
        <v>-3.1100800000000001E-2</v>
      </c>
      <c r="C30">
        <v>-7.4120100000000001E-3</v>
      </c>
      <c r="I30">
        <f t="shared" si="0"/>
        <v>-0.93831474492175904</v>
      </c>
      <c r="J30">
        <f t="shared" si="1"/>
        <v>-7.4120100000000001E-3</v>
      </c>
    </row>
    <row r="31" spans="1:10" x14ac:dyDescent="0.3">
      <c r="A31">
        <v>2</v>
      </c>
      <c r="B31">
        <v>-3.3623399999999998E-2</v>
      </c>
      <c r="C31">
        <v>7.0735599999999996E-3</v>
      </c>
      <c r="I31">
        <f t="shared" si="0"/>
        <v>-0.95359702423864234</v>
      </c>
      <c r="J31">
        <f t="shared" si="1"/>
        <v>7.0735599999999996E-3</v>
      </c>
    </row>
    <row r="32" spans="1:10" x14ac:dyDescent="0.3">
      <c r="A32">
        <v>2</v>
      </c>
      <c r="B32">
        <v>-3.5689600000000002E-2</v>
      </c>
      <c r="C32">
        <v>2.9023299999999998E-2</v>
      </c>
      <c r="I32">
        <f t="shared" si="0"/>
        <v>-0.96611436568181386</v>
      </c>
      <c r="J32">
        <f t="shared" si="1"/>
        <v>2.9023299999999998E-2</v>
      </c>
    </row>
    <row r="33" spans="1:10" x14ac:dyDescent="0.3">
      <c r="A33">
        <v>2</v>
      </c>
      <c r="B33">
        <v>-3.7356300000000002E-2</v>
      </c>
      <c r="C33">
        <v>4.0532400000000003E-2</v>
      </c>
      <c r="I33">
        <f t="shared" si="0"/>
        <v>-0.97621147776357475</v>
      </c>
      <c r="J33">
        <f t="shared" si="1"/>
        <v>4.0532400000000003E-2</v>
      </c>
    </row>
    <row r="34" spans="1:10" x14ac:dyDescent="0.3">
      <c r="A34">
        <v>2</v>
      </c>
      <c r="B34">
        <v>-3.86735E-2</v>
      </c>
      <c r="C34">
        <v>5.59114E-2</v>
      </c>
      <c r="I34">
        <f t="shared" si="0"/>
        <v>-0.98419126778823141</v>
      </c>
      <c r="J34">
        <f t="shared" si="1"/>
        <v>5.59114E-2</v>
      </c>
    </row>
    <row r="35" spans="1:10" x14ac:dyDescent="0.3">
      <c r="A35">
        <v>2</v>
      </c>
      <c r="B35">
        <v>-3.9683499999999997E-2</v>
      </c>
      <c r="C35">
        <v>0.124019</v>
      </c>
      <c r="I35">
        <f t="shared" si="0"/>
        <v>-0.99030999533522734</v>
      </c>
      <c r="J35">
        <f t="shared" si="1"/>
        <v>0.124019</v>
      </c>
    </row>
    <row r="36" spans="1:10" x14ac:dyDescent="0.3">
      <c r="A36">
        <v>2</v>
      </c>
      <c r="B36">
        <v>-4.0419900000000002E-2</v>
      </c>
      <c r="C36">
        <v>8.4029599999999996E-2</v>
      </c>
      <c r="I36">
        <f t="shared" si="0"/>
        <v>-0.99477121411305713</v>
      </c>
      <c r="J36">
        <f t="shared" si="1"/>
        <v>8.4029599999999996E-2</v>
      </c>
    </row>
    <row r="37" spans="1:10" x14ac:dyDescent="0.3">
      <c r="A37">
        <v>2</v>
      </c>
      <c r="B37">
        <v>-4.0884499999999997E-2</v>
      </c>
      <c r="C37">
        <v>6.2370099999999998E-2</v>
      </c>
      <c r="I37">
        <f t="shared" si="0"/>
        <v>-0.99758582878467517</v>
      </c>
      <c r="J37">
        <f t="shared" si="1"/>
        <v>6.2370099999999998E-2</v>
      </c>
    </row>
    <row r="38" spans="1:10" x14ac:dyDescent="0.3">
      <c r="A38">
        <v>2</v>
      </c>
      <c r="B38">
        <v>-4.1144699999999999E-2</v>
      </c>
      <c r="C38">
        <v>3.6739800000000003E-2</v>
      </c>
      <c r="I38">
        <f t="shared" si="0"/>
        <v>-0.99916215839628753</v>
      </c>
      <c r="J38">
        <f t="shared" si="1"/>
        <v>3.6739800000000003E-2</v>
      </c>
    </row>
    <row r="39" spans="1:10" x14ac:dyDescent="0.3">
      <c r="A39">
        <v>2</v>
      </c>
      <c r="B39">
        <v>-4.1261199999999998E-2</v>
      </c>
      <c r="C39">
        <v>9.3623300000000007E-2</v>
      </c>
      <c r="I39">
        <f t="shared" si="0"/>
        <v>-0.99986793241532212</v>
      </c>
      <c r="J39">
        <f t="shared" si="1"/>
        <v>9.3623300000000007E-2</v>
      </c>
    </row>
    <row r="40" spans="1:10" x14ac:dyDescent="0.3">
      <c r="A40">
        <v>2</v>
      </c>
      <c r="B40">
        <v>-4.1283E-2</v>
      </c>
      <c r="C40">
        <v>0.113293</v>
      </c>
      <c r="I40">
        <f t="shared" si="0"/>
        <v>-1</v>
      </c>
      <c r="J40">
        <f t="shared" si="1"/>
        <v>0.113293</v>
      </c>
    </row>
    <row r="42" spans="1:10" x14ac:dyDescent="0.3">
      <c r="A42">
        <v>1</v>
      </c>
      <c r="B42">
        <v>0.12378400000000001</v>
      </c>
      <c r="C42">
        <v>-5.9693299999999998E-2</v>
      </c>
      <c r="I42">
        <f t="shared" si="0"/>
        <v>0</v>
      </c>
      <c r="J42">
        <f t="shared" si="1"/>
        <v>-5.9693299999999998E-2</v>
      </c>
    </row>
    <row r="43" spans="1:10" x14ac:dyDescent="0.3">
      <c r="A43">
        <v>1</v>
      </c>
      <c r="B43">
        <v>0.122822</v>
      </c>
      <c r="C43">
        <v>0.28028500000000001</v>
      </c>
      <c r="I43">
        <f t="shared" si="0"/>
        <v>-5.8279365348616287E-3</v>
      </c>
      <c r="J43">
        <f t="shared" si="1"/>
        <v>0.28028500000000001</v>
      </c>
    </row>
    <row r="44" spans="1:10" x14ac:dyDescent="0.3">
      <c r="A44">
        <v>1</v>
      </c>
      <c r="B44">
        <v>0.121658</v>
      </c>
      <c r="C44">
        <v>0.110069</v>
      </c>
      <c r="I44">
        <f t="shared" si="0"/>
        <v>-1.2879618579122433E-2</v>
      </c>
      <c r="J44">
        <f t="shared" si="1"/>
        <v>0.110069</v>
      </c>
    </row>
    <row r="45" spans="1:10" x14ac:dyDescent="0.3">
      <c r="A45">
        <v>1</v>
      </c>
      <c r="B45">
        <v>0.12024899999999999</v>
      </c>
      <c r="C45">
        <v>1.8885099999999998E-2</v>
      </c>
      <c r="I45">
        <f t="shared" si="0"/>
        <v>-2.14155464144863E-2</v>
      </c>
      <c r="J45">
        <f t="shared" si="1"/>
        <v>1.8885099999999998E-2</v>
      </c>
    </row>
    <row r="46" spans="1:10" x14ac:dyDescent="0.3">
      <c r="A46">
        <v>1</v>
      </c>
      <c r="B46">
        <v>0.11855300000000001</v>
      </c>
      <c r="C46">
        <v>9.7362099999999993E-2</v>
      </c>
      <c r="I46">
        <f t="shared" si="0"/>
        <v>-3.1690162176570717E-2</v>
      </c>
      <c r="J46">
        <f t="shared" si="1"/>
        <v>9.7362099999999993E-2</v>
      </c>
    </row>
    <row r="47" spans="1:10" x14ac:dyDescent="0.3">
      <c r="A47">
        <v>1</v>
      </c>
      <c r="B47">
        <v>0.116517</v>
      </c>
      <c r="C47">
        <v>1.09931E-2</v>
      </c>
      <c r="I47">
        <f t="shared" si="0"/>
        <v>-4.402454760794107E-2</v>
      </c>
      <c r="J47">
        <f t="shared" si="1"/>
        <v>1.09931E-2</v>
      </c>
    </row>
    <row r="48" spans="1:10" x14ac:dyDescent="0.3">
      <c r="A48">
        <v>1</v>
      </c>
      <c r="B48">
        <v>0.11408699999999999</v>
      </c>
      <c r="C48">
        <v>2.7939499999999999E-2</v>
      </c>
      <c r="I48">
        <f t="shared" si="0"/>
        <v>-5.8745842597248452E-2</v>
      </c>
      <c r="J48">
        <f t="shared" si="1"/>
        <v>2.7939499999999999E-2</v>
      </c>
    </row>
    <row r="49" spans="1:10" x14ac:dyDescent="0.3">
      <c r="A49">
        <v>1</v>
      </c>
      <c r="B49">
        <v>0.11120099999999999</v>
      </c>
      <c r="C49">
        <v>2.1995899999999999E-2</v>
      </c>
      <c r="I49">
        <f t="shared" si="0"/>
        <v>-7.6229652201833253E-2</v>
      </c>
      <c r="J49">
        <f t="shared" si="1"/>
        <v>2.1995899999999999E-2</v>
      </c>
    </row>
    <row r="50" spans="1:10" x14ac:dyDescent="0.3">
      <c r="A50">
        <v>1</v>
      </c>
      <c r="B50">
        <v>0.107798</v>
      </c>
      <c r="C50">
        <v>-4.14373E-3</v>
      </c>
      <c r="I50">
        <f t="shared" si="0"/>
        <v>-9.6845523332949643E-2</v>
      </c>
      <c r="J50">
        <f t="shared" si="1"/>
        <v>-4.14373E-3</v>
      </c>
    </row>
    <row r="51" spans="1:10" x14ac:dyDescent="0.3">
      <c r="A51">
        <v>1</v>
      </c>
      <c r="B51">
        <v>0.10381899999999999</v>
      </c>
      <c r="C51">
        <v>-4.6417300000000002E-4</v>
      </c>
      <c r="I51">
        <f t="shared" si="0"/>
        <v>-0.12095088660967976</v>
      </c>
      <c r="J51">
        <f t="shared" si="1"/>
        <v>-4.6417300000000002E-4</v>
      </c>
    </row>
    <row r="52" spans="1:10" x14ac:dyDescent="0.3">
      <c r="A52">
        <v>1</v>
      </c>
      <c r="B52">
        <v>9.9208299999999999E-2</v>
      </c>
      <c r="C52">
        <v>-1.10209E-2</v>
      </c>
      <c r="I52">
        <f t="shared" si="0"/>
        <v>-0.14888318076902107</v>
      </c>
      <c r="J52">
        <f t="shared" si="1"/>
        <v>-1.10209E-2</v>
      </c>
    </row>
    <row r="53" spans="1:10" x14ac:dyDescent="0.3">
      <c r="A53">
        <v>1</v>
      </c>
      <c r="B53">
        <v>9.3925599999999998E-2</v>
      </c>
      <c r="C53">
        <v>-1.6821099999999999E-2</v>
      </c>
      <c r="I53">
        <f t="shared" si="0"/>
        <v>-0.18088654909824498</v>
      </c>
      <c r="J53">
        <f t="shared" si="1"/>
        <v>-1.6821099999999999E-2</v>
      </c>
    </row>
    <row r="54" spans="1:10" x14ac:dyDescent="0.3">
      <c r="A54">
        <v>1</v>
      </c>
      <c r="B54">
        <v>8.7947899999999996E-2</v>
      </c>
      <c r="C54">
        <v>-2.2758199999999999E-2</v>
      </c>
      <c r="I54">
        <f t="shared" si="0"/>
        <v>-0.2171003289573325</v>
      </c>
      <c r="J54">
        <f t="shared" si="1"/>
        <v>-2.2758199999999999E-2</v>
      </c>
    </row>
    <row r="55" spans="1:10" x14ac:dyDescent="0.3">
      <c r="A55">
        <v>1</v>
      </c>
      <c r="B55">
        <v>8.1279299999999999E-2</v>
      </c>
      <c r="C55">
        <v>-3.09275E-2</v>
      </c>
      <c r="I55">
        <f t="shared" si="0"/>
        <v>-0.25749968194733047</v>
      </c>
      <c r="J55">
        <f t="shared" si="1"/>
        <v>-3.09275E-2</v>
      </c>
    </row>
    <row r="56" spans="1:10" x14ac:dyDescent="0.3">
      <c r="A56">
        <v>1</v>
      </c>
      <c r="B56">
        <v>7.3956800000000003E-2</v>
      </c>
      <c r="C56">
        <v>-3.7652999999999999E-2</v>
      </c>
      <c r="I56">
        <f t="shared" si="0"/>
        <v>-0.30186045666305195</v>
      </c>
      <c r="J56">
        <f t="shared" si="1"/>
        <v>-3.7652999999999999E-2</v>
      </c>
    </row>
    <row r="57" spans="1:10" x14ac:dyDescent="0.3">
      <c r="A57">
        <v>1</v>
      </c>
      <c r="B57">
        <v>6.6054000000000002E-2</v>
      </c>
      <c r="C57">
        <v>-4.6331600000000001E-2</v>
      </c>
      <c r="I57">
        <f t="shared" si="0"/>
        <v>-0.34973677355255745</v>
      </c>
      <c r="J57">
        <f t="shared" si="1"/>
        <v>-4.6331600000000001E-2</v>
      </c>
    </row>
    <row r="58" spans="1:10" x14ac:dyDescent="0.3">
      <c r="A58">
        <v>1</v>
      </c>
      <c r="B58">
        <v>5.7682400000000002E-2</v>
      </c>
      <c r="C58">
        <v>-5.34998E-2</v>
      </c>
      <c r="I58">
        <f t="shared" si="0"/>
        <v>-0.40045314932724291</v>
      </c>
      <c r="J58">
        <f t="shared" si="1"/>
        <v>-5.34998E-2</v>
      </c>
    </row>
    <row r="59" spans="1:10" x14ac:dyDescent="0.3">
      <c r="A59">
        <v>1</v>
      </c>
      <c r="B59">
        <v>4.8986799999999997E-2</v>
      </c>
      <c r="C59">
        <v>-6.1662700000000001E-2</v>
      </c>
      <c r="I59">
        <f t="shared" si="0"/>
        <v>-0.45313236443383598</v>
      </c>
      <c r="J59">
        <f t="shared" si="1"/>
        <v>-6.1662700000000001E-2</v>
      </c>
    </row>
    <row r="60" spans="1:10" x14ac:dyDescent="0.3">
      <c r="A60">
        <v>1</v>
      </c>
      <c r="B60">
        <v>4.0136400000000003E-2</v>
      </c>
      <c r="C60">
        <v>-6.9757399999999997E-2</v>
      </c>
      <c r="I60">
        <f t="shared" si="0"/>
        <v>-0.50674938055456265</v>
      </c>
      <c r="J60">
        <f t="shared" si="1"/>
        <v>-6.9757399999999997E-2</v>
      </c>
    </row>
    <row r="61" spans="1:10" x14ac:dyDescent="0.3">
      <c r="A61">
        <v>1</v>
      </c>
      <c r="B61">
        <v>3.1312600000000003E-2</v>
      </c>
      <c r="C61">
        <v>-8.0547599999999997E-2</v>
      </c>
      <c r="I61">
        <f t="shared" si="0"/>
        <v>-0.56020524998939825</v>
      </c>
      <c r="J61">
        <f t="shared" si="1"/>
        <v>-8.0547599999999997E-2</v>
      </c>
    </row>
    <row r="62" spans="1:10" x14ac:dyDescent="0.3">
      <c r="A62">
        <v>1</v>
      </c>
      <c r="B62">
        <v>2.2694200000000001E-2</v>
      </c>
      <c r="C62">
        <v>-8.9794100000000002E-2</v>
      </c>
      <c r="I62">
        <f t="shared" si="0"/>
        <v>-0.61241677621814172</v>
      </c>
      <c r="J62">
        <f t="shared" si="1"/>
        <v>-8.9794100000000002E-2</v>
      </c>
    </row>
    <row r="63" spans="1:10" x14ac:dyDescent="0.3">
      <c r="A63">
        <v>1</v>
      </c>
      <c r="B63">
        <v>1.4444E-2</v>
      </c>
      <c r="C63">
        <v>-9.8093E-2</v>
      </c>
      <c r="I63">
        <f t="shared" si="0"/>
        <v>-0.66239769305797036</v>
      </c>
      <c r="J63">
        <f t="shared" si="1"/>
        <v>-9.8093E-2</v>
      </c>
    </row>
    <row r="64" spans="1:10" x14ac:dyDescent="0.3">
      <c r="A64">
        <v>1</v>
      </c>
      <c r="B64">
        <v>6.69683E-3</v>
      </c>
      <c r="C64">
        <v>-0.108641</v>
      </c>
      <c r="I64">
        <f t="shared" si="0"/>
        <v>-0.70933118067209067</v>
      </c>
      <c r="J64">
        <f t="shared" si="1"/>
        <v>-0.108641</v>
      </c>
    </row>
    <row r="65" spans="1:10" x14ac:dyDescent="0.3">
      <c r="A65">
        <v>1</v>
      </c>
      <c r="B65">
        <v>-4.46744E-4</v>
      </c>
      <c r="C65">
        <v>-0.117935</v>
      </c>
      <c r="I65">
        <f t="shared" si="0"/>
        <v>-0.75260799554120439</v>
      </c>
      <c r="J65">
        <f t="shared" si="1"/>
        <v>-0.117935</v>
      </c>
    </row>
    <row r="66" spans="1:10" x14ac:dyDescent="0.3">
      <c r="A66">
        <v>1</v>
      </c>
      <c r="B66">
        <v>-6.92334E-3</v>
      </c>
      <c r="C66">
        <v>-0.12463</v>
      </c>
      <c r="I66">
        <f t="shared" si="0"/>
        <v>-0.7918441602500802</v>
      </c>
      <c r="J66">
        <f t="shared" si="1"/>
        <v>-0.12463</v>
      </c>
    </row>
    <row r="67" spans="1:10" x14ac:dyDescent="0.3">
      <c r="A67">
        <v>1</v>
      </c>
      <c r="B67">
        <v>-1.27049E-2</v>
      </c>
      <c r="C67">
        <v>-0.13371</v>
      </c>
      <c r="I67">
        <f t="shared" si="0"/>
        <v>-0.82686969533583321</v>
      </c>
      <c r="J67">
        <f t="shared" si="1"/>
        <v>-0.13371</v>
      </c>
    </row>
    <row r="68" spans="1:10" x14ac:dyDescent="0.3">
      <c r="A68">
        <v>1</v>
      </c>
      <c r="B68">
        <v>-1.7793699999999999E-2</v>
      </c>
      <c r="C68">
        <v>-0.14089499999999999</v>
      </c>
      <c r="I68">
        <f t="shared" ref="I68:I80" si="2">(B68-$F$2)/$G$2</f>
        <v>-0.85769838913895557</v>
      </c>
      <c r="J68">
        <f t="shared" ref="J68:J80" si="3">C68</f>
        <v>-0.14089499999999999</v>
      </c>
    </row>
    <row r="69" spans="1:10" x14ac:dyDescent="0.3">
      <c r="A69">
        <v>1</v>
      </c>
      <c r="B69">
        <v>-2.2216400000000001E-2</v>
      </c>
      <c r="C69">
        <v>-0.14716000000000001</v>
      </c>
      <c r="I69">
        <f t="shared" si="2"/>
        <v>-0.88449175183410367</v>
      </c>
      <c r="J69">
        <f t="shared" si="3"/>
        <v>-0.14716000000000001</v>
      </c>
    </row>
    <row r="70" spans="1:10" x14ac:dyDescent="0.3">
      <c r="A70">
        <v>1</v>
      </c>
      <c r="B70">
        <v>-2.6016000000000001E-2</v>
      </c>
      <c r="C70">
        <v>-0.15553400000000001</v>
      </c>
      <c r="I70">
        <f t="shared" si="2"/>
        <v>-0.90751028370298126</v>
      </c>
      <c r="J70">
        <f t="shared" si="3"/>
        <v>-0.15553400000000001</v>
      </c>
    </row>
    <row r="71" spans="1:10" x14ac:dyDescent="0.3">
      <c r="A71">
        <v>1</v>
      </c>
      <c r="B71">
        <v>-2.9246100000000001E-2</v>
      </c>
      <c r="C71">
        <v>-0.16900100000000001</v>
      </c>
      <c r="I71">
        <f t="shared" si="2"/>
        <v>-0.92707870137580484</v>
      </c>
      <c r="J71">
        <f t="shared" si="3"/>
        <v>-0.16900100000000001</v>
      </c>
    </row>
    <row r="72" spans="1:10" x14ac:dyDescent="0.3">
      <c r="A72">
        <v>1</v>
      </c>
      <c r="B72">
        <v>-3.1964699999999999E-2</v>
      </c>
      <c r="C72">
        <v>-0.161658</v>
      </c>
      <c r="I72">
        <f t="shared" si="2"/>
        <v>-0.94354837732557084</v>
      </c>
      <c r="J72">
        <f t="shared" si="3"/>
        <v>-0.161658</v>
      </c>
    </row>
    <row r="73" spans="1:10" x14ac:dyDescent="0.3">
      <c r="A73">
        <v>1</v>
      </c>
      <c r="B73">
        <v>-3.4229799999999998E-2</v>
      </c>
      <c r="C73">
        <v>-0.177812</v>
      </c>
      <c r="I73">
        <f t="shared" si="2"/>
        <v>-0.95727068402527449</v>
      </c>
      <c r="J73">
        <f t="shared" si="3"/>
        <v>-0.177812</v>
      </c>
    </row>
    <row r="74" spans="1:10" x14ac:dyDescent="0.3">
      <c r="A74">
        <v>1</v>
      </c>
      <c r="B74">
        <v>-3.6096099999999999E-2</v>
      </c>
      <c r="C74">
        <v>-0.16216700000000001</v>
      </c>
      <c r="I74">
        <f t="shared" si="2"/>
        <v>-0.96857700206582764</v>
      </c>
      <c r="J74">
        <f t="shared" si="3"/>
        <v>-0.16216700000000001</v>
      </c>
    </row>
    <row r="75" spans="1:10" x14ac:dyDescent="0.3">
      <c r="A75">
        <v>1</v>
      </c>
      <c r="B75">
        <v>-3.7612399999999997E-2</v>
      </c>
      <c r="C75">
        <v>-0.13753399999999999</v>
      </c>
      <c r="I75">
        <f t="shared" si="2"/>
        <v>-0.97776296897623372</v>
      </c>
      <c r="J75">
        <f t="shared" si="3"/>
        <v>-0.13753399999999999</v>
      </c>
    </row>
    <row r="76" spans="1:10" x14ac:dyDescent="0.3">
      <c r="A76">
        <v>1</v>
      </c>
      <c r="B76">
        <v>-3.8819800000000002E-2</v>
      </c>
      <c r="C76">
        <v>-0.10760500000000001</v>
      </c>
      <c r="I76">
        <f t="shared" si="2"/>
        <v>-0.98507757456063294</v>
      </c>
      <c r="J76">
        <f t="shared" si="3"/>
        <v>-0.10760500000000001</v>
      </c>
    </row>
    <row r="77" spans="1:10" x14ac:dyDescent="0.3">
      <c r="A77">
        <v>1</v>
      </c>
      <c r="B77">
        <v>-3.9751000000000002E-2</v>
      </c>
      <c r="C77">
        <v>-5.3733499999999997E-2</v>
      </c>
      <c r="I77">
        <f t="shared" si="2"/>
        <v>-0.99071892019604157</v>
      </c>
      <c r="J77">
        <f t="shared" si="3"/>
        <v>-5.3733499999999997E-2</v>
      </c>
    </row>
    <row r="78" spans="1:10" x14ac:dyDescent="0.3">
      <c r="A78">
        <v>1</v>
      </c>
      <c r="B78">
        <v>-4.04312E-2</v>
      </c>
      <c r="C78">
        <v>-2.8615600000000001E-2</v>
      </c>
      <c r="I78">
        <f t="shared" si="2"/>
        <v>-0.99483967116383032</v>
      </c>
      <c r="J78">
        <f t="shared" si="3"/>
        <v>-2.8615600000000001E-2</v>
      </c>
    </row>
    <row r="79" spans="1:10" x14ac:dyDescent="0.3">
      <c r="A79">
        <v>1</v>
      </c>
      <c r="B79">
        <v>-4.0910599999999998E-2</v>
      </c>
      <c r="C79">
        <v>0.20088300000000001</v>
      </c>
      <c r="I79">
        <f t="shared" si="2"/>
        <v>-0.99774394639752328</v>
      </c>
      <c r="J79">
        <f t="shared" si="3"/>
        <v>0.20088300000000001</v>
      </c>
    </row>
    <row r="80" spans="1:10" x14ac:dyDescent="0.3">
      <c r="A80">
        <v>1</v>
      </c>
      <c r="B80">
        <v>-4.1184499999999999E-2</v>
      </c>
      <c r="C80">
        <v>9.1226000000000002E-2</v>
      </c>
      <c r="I80">
        <f t="shared" si="2"/>
        <v>-0.99940327261051576</v>
      </c>
      <c r="J80">
        <f t="shared" si="3"/>
        <v>9.1226000000000002E-2</v>
      </c>
    </row>
  </sheetData>
  <sortState xmlns:xlrd2="http://schemas.microsoft.com/office/spreadsheetml/2017/richdata2" ref="A2:C81">
    <sortCondition descending="1" ref="A1:A81"/>
  </sortState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0.5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박원빈</cp:lastModifiedBy>
  <dcterms:created xsi:type="dcterms:W3CDTF">2025-11-20T07:00:52Z</dcterms:created>
  <dcterms:modified xsi:type="dcterms:W3CDTF">2025-11-26T06:08:00Z</dcterms:modified>
</cp:coreProperties>
</file>