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df\wjstks\2021010599_parkwonbin\Week9 Homework\"/>
    </mc:Choice>
  </mc:AlternateContent>
  <xr:revisionPtr revIDLastSave="0" documentId="13_ncr:1_{3F09FD22-4DB6-4ABE-A976-115E3731B75B}" xr6:coauthVersionLast="47" xr6:coauthVersionMax="47" xr10:uidLastSave="{00000000-0000-0000-0000-000000000000}"/>
  <bookViews>
    <workbookView xWindow="-110" yWindow="-110" windowWidth="25820" windowHeight="15500" firstSheet="1" activeTab="1" xr2:uid="{21FBD510-EEFE-46DD-A5AE-47F88D5BD2D1}"/>
  </bookViews>
  <sheets>
    <sheet name="section_022" sheetId="1" state="hidden" r:id="rId1"/>
    <sheet name="section_04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2" i="2" l="1"/>
  <c r="I61" i="2"/>
  <c r="I60" i="2"/>
  <c r="I59" i="2"/>
  <c r="I58" i="2"/>
  <c r="I31" i="2"/>
  <c r="I32" i="2"/>
  <c r="I33" i="2"/>
  <c r="I34" i="2"/>
  <c r="I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6" i="2"/>
  <c r="I37" i="2"/>
  <c r="I38" i="2"/>
  <c r="I39" i="2"/>
  <c r="I40" i="2"/>
  <c r="I41" i="2"/>
  <c r="I42" i="2"/>
  <c r="I43" i="2"/>
  <c r="I44" i="2"/>
  <c r="I45" i="2"/>
  <c r="I47" i="2"/>
  <c r="I48" i="2"/>
  <c r="I49" i="2"/>
  <c r="I50" i="2"/>
  <c r="I51" i="2"/>
  <c r="I52" i="2"/>
  <c r="I53" i="2"/>
  <c r="I54" i="2"/>
  <c r="I55" i="2"/>
  <c r="I56" i="2"/>
  <c r="I57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2" i="2"/>
  <c r="F3" i="2"/>
  <c r="F2" i="2"/>
  <c r="G2" i="2" l="1"/>
  <c r="H28" i="2" s="1"/>
  <c r="H10" i="2"/>
  <c r="H77" i="2"/>
  <c r="H78" i="2"/>
  <c r="H12" i="2"/>
  <c r="H79" i="2"/>
  <c r="H13" i="2"/>
  <c r="H80" i="2"/>
  <c r="H14" i="2"/>
  <c r="H59" i="2"/>
  <c r="H15" i="2"/>
  <c r="H38" i="2"/>
  <c r="H39" i="2"/>
  <c r="H40" i="2"/>
  <c r="H41" i="2"/>
  <c r="H20" i="2"/>
  <c r="H43" i="2"/>
  <c r="H44" i="2"/>
  <c r="H89" i="2"/>
  <c r="H23" i="2"/>
  <c r="H90" i="2"/>
  <c r="H69" i="2"/>
  <c r="H6" i="2"/>
  <c r="H73" i="2"/>
  <c r="H55" i="2"/>
  <c r="H11" i="2"/>
  <c r="H56" i="2"/>
  <c r="H57" i="2"/>
  <c r="H58" i="2"/>
  <c r="H36" i="2"/>
  <c r="H37" i="2"/>
  <c r="H16" i="2"/>
  <c r="H62" i="2"/>
  <c r="H63" i="2"/>
  <c r="H65" i="2"/>
  <c r="H66" i="2"/>
  <c r="H22" i="2"/>
  <c r="H45" i="2"/>
  <c r="H51" i="2"/>
  <c r="H60" i="2"/>
  <c r="H61" i="2"/>
  <c r="H17" i="2"/>
  <c r="H18" i="2"/>
  <c r="H19" i="2"/>
  <c r="H86" i="2"/>
  <c r="H87" i="2"/>
  <c r="H21" i="2"/>
  <c r="H88" i="2"/>
  <c r="H67" i="2"/>
  <c r="H68" i="2"/>
  <c r="H24" i="2"/>
  <c r="H2" i="2"/>
  <c r="H76" i="2"/>
  <c r="H32" i="2"/>
  <c r="H33" i="2"/>
  <c r="H34" i="2"/>
  <c r="H35" i="2"/>
  <c r="H81" i="2"/>
  <c r="H82" i="2"/>
  <c r="H83" i="2"/>
  <c r="H84" i="2"/>
  <c r="H85" i="2"/>
  <c r="H64" i="2"/>
  <c r="H42" i="2"/>
  <c r="H47" i="2"/>
  <c r="H3" i="2"/>
  <c r="H54" i="2"/>
  <c r="H31" i="2"/>
  <c r="H9" i="2"/>
  <c r="H75" i="2"/>
  <c r="H53" i="2"/>
  <c r="H30" i="2"/>
  <c r="H8" i="2"/>
  <c r="H74" i="2"/>
  <c r="H52" i="2"/>
  <c r="H29" i="2"/>
  <c r="H7" i="2"/>
  <c r="H71" i="2"/>
  <c r="H49" i="2"/>
  <c r="H26" i="2"/>
  <c r="H4" i="2"/>
  <c r="H72" i="2"/>
  <c r="H50" i="2"/>
  <c r="H27" i="2"/>
  <c r="H5" i="2"/>
  <c r="H70" i="2"/>
  <c r="H48" i="2"/>
  <c r="H25" i="2"/>
</calcChain>
</file>

<file path=xl/sharedStrings.xml><?xml version="1.0" encoding="utf-8"?>
<sst xmlns="http://schemas.openxmlformats.org/spreadsheetml/2006/main" count="11" uniqueCount="6">
  <si>
    <t>Points_0</t>
  </si>
  <si>
    <t>Points_2</t>
  </si>
  <si>
    <t>Pressure_Coefficient</t>
  </si>
  <si>
    <t>x/c</t>
    <phoneticPr fontId="18" type="noConversion"/>
  </si>
  <si>
    <t>cp</t>
    <phoneticPr fontId="18" type="noConversion"/>
  </si>
  <si>
    <t>Exp.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</si>
</sst>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0" borderId="10" xfId="0" applyNumberFormat="1" applyBorder="1">
      <alignment vertical="center"/>
    </xf>
    <xf numFmtId="176" fontId="19" fillId="0" borderId="10" xfId="0" applyNumberFormat="1" applyFont="1" applyBorder="1">
      <alignment vertical="center"/>
    </xf>
    <xf numFmtId="11" fontId="0" fillId="0" borderId="10" xfId="0" applyNumberFormat="1" applyBorder="1">
      <alignment vertical="center"/>
    </xf>
    <xf numFmtId="176" fontId="0" fillId="33" borderId="10" xfId="0" applyNumberFormat="1" applyFill="1" applyBorder="1">
      <alignment vertical="center"/>
    </xf>
    <xf numFmtId="0" fontId="0" fillId="33" borderId="10" xfId="0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Sec. 22%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62270341207349E-2"/>
          <c:y val="0.20467592592592593"/>
          <c:w val="0.8769050743657042"/>
          <c:h val="0.6882950568678915"/>
        </c:manualLayout>
      </c:layout>
      <c:scatterChart>
        <c:scatterStyle val="smooth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section_022!$G$2:$G$89</c:f>
              <c:numCache>
                <c:formatCode>General</c:formatCode>
                <c:ptCount val="88"/>
                <c:pt idx="0">
                  <c:v>1</c:v>
                </c:pt>
                <c:pt idx="1">
                  <c:v>0.98604311700000002</c:v>
                </c:pt>
                <c:pt idx="2">
                  <c:v>0.97172805299999998</c:v>
                </c:pt>
                <c:pt idx="3">
                  <c:v>0.95674528599999997</c:v>
                </c:pt>
                <c:pt idx="4">
                  <c:v>0.94083395299999995</c:v>
                </c:pt>
                <c:pt idx="5">
                  <c:v>0.92378184799999996</c:v>
                </c:pt>
                <c:pt idx="6">
                  <c:v>0.90541866599999998</c:v>
                </c:pt>
                <c:pt idx="7">
                  <c:v>0.88561870600000003</c:v>
                </c:pt>
                <c:pt idx="8">
                  <c:v>0.86429681700000005</c:v>
                </c:pt>
                <c:pt idx="9">
                  <c:v>0.84140298700000005</c:v>
                </c:pt>
                <c:pt idx="10">
                  <c:v>0.816927756</c:v>
                </c:pt>
                <c:pt idx="11">
                  <c:v>0.79089274899999995</c:v>
                </c:pt>
                <c:pt idx="12">
                  <c:v>0.76334932799999999</c:v>
                </c:pt>
                <c:pt idx="13">
                  <c:v>0.73437723899999996</c:v>
                </c:pt>
                <c:pt idx="14">
                  <c:v>0.70408190800000003</c:v>
                </c:pt>
                <c:pt idx="15">
                  <c:v>0.67258498300000003</c:v>
                </c:pt>
                <c:pt idx="16">
                  <c:v>0.64003379100000002</c:v>
                </c:pt>
                <c:pt idx="17">
                  <c:v>0.60658511900000001</c:v>
                </c:pt>
                <c:pt idx="18">
                  <c:v>0.57241602999999996</c:v>
                </c:pt>
                <c:pt idx="19">
                  <c:v>0.53771305000000003</c:v>
                </c:pt>
                <c:pt idx="20">
                  <c:v>0.50267351500000002</c:v>
                </c:pt>
                <c:pt idx="21">
                  <c:v>0.46750287200000001</c:v>
                </c:pt>
                <c:pt idx="22">
                  <c:v>0.43241738200000002</c:v>
                </c:pt>
                <c:pt idx="23">
                  <c:v>0.39762924900000002</c:v>
                </c:pt>
                <c:pt idx="24">
                  <c:v>0.36335473400000001</c:v>
                </c:pt>
                <c:pt idx="25">
                  <c:v>0.32980333899999997</c:v>
                </c:pt>
                <c:pt idx="26">
                  <c:v>0.29717645500000001</c:v>
                </c:pt>
                <c:pt idx="27">
                  <c:v>0.26566736499999999</c:v>
                </c:pt>
                <c:pt idx="28">
                  <c:v>0.23545448399999999</c:v>
                </c:pt>
                <c:pt idx="29">
                  <c:v>0.206705413</c:v>
                </c:pt>
                <c:pt idx="30">
                  <c:v>0.17956748</c:v>
                </c:pt>
                <c:pt idx="31">
                  <c:v>0.15416908800000001</c:v>
                </c:pt>
                <c:pt idx="32">
                  <c:v>0.13061971999999999</c:v>
                </c:pt>
                <c:pt idx="33">
                  <c:v>0.109000473</c:v>
                </c:pt>
                <c:pt idx="34">
                  <c:v>8.9368114999999998E-2</c:v>
                </c:pt>
                <c:pt idx="35">
                  <c:v>7.1742921000000001E-2</c:v>
                </c:pt>
                <c:pt idx="36">
                  <c:v>5.6116779999999998E-2</c:v>
                </c:pt>
                <c:pt idx="37">
                  <c:v>4.2441035000000002E-2</c:v>
                </c:pt>
                <c:pt idx="38">
                  <c:v>3.0681895000000001E-2</c:v>
                </c:pt>
                <c:pt idx="39">
                  <c:v>2.0875853E-2</c:v>
                </c:pt>
                <c:pt idx="40">
                  <c:v>1.3086436E-2</c:v>
                </c:pt>
                <c:pt idx="41">
                  <c:v>7.2663379999999998E-3</c:v>
                </c:pt>
                <c:pt idx="42">
                  <c:v>3.2290330000000001E-3</c:v>
                </c:pt>
                <c:pt idx="43">
                  <c:v>8.1638200000000005E-4</c:v>
                </c:pt>
                <c:pt idx="44">
                  <c:v>0</c:v>
                </c:pt>
                <c:pt idx="45">
                  <c:v>8.1638200000000005E-4</c:v>
                </c:pt>
                <c:pt idx="46">
                  <c:v>3.2290330000000001E-3</c:v>
                </c:pt>
                <c:pt idx="47">
                  <c:v>7.2663379999999998E-3</c:v>
                </c:pt>
                <c:pt idx="48">
                  <c:v>1.3086436E-2</c:v>
                </c:pt>
                <c:pt idx="49">
                  <c:v>2.0875853E-2</c:v>
                </c:pt>
                <c:pt idx="50">
                  <c:v>3.0681895000000001E-2</c:v>
                </c:pt>
                <c:pt idx="51">
                  <c:v>4.2441035000000002E-2</c:v>
                </c:pt>
                <c:pt idx="52">
                  <c:v>5.6116779999999998E-2</c:v>
                </c:pt>
                <c:pt idx="53">
                  <c:v>7.1742921000000001E-2</c:v>
                </c:pt>
                <c:pt idx="54">
                  <c:v>8.9368114999999998E-2</c:v>
                </c:pt>
                <c:pt idx="55">
                  <c:v>0.109000473</c:v>
                </c:pt>
                <c:pt idx="56">
                  <c:v>0.13061971999999999</c:v>
                </c:pt>
                <c:pt idx="57">
                  <c:v>0.15416908800000001</c:v>
                </c:pt>
                <c:pt idx="58">
                  <c:v>0.17956748</c:v>
                </c:pt>
                <c:pt idx="59">
                  <c:v>0.206705413</c:v>
                </c:pt>
                <c:pt idx="60">
                  <c:v>0.23545448399999999</c:v>
                </c:pt>
                <c:pt idx="61">
                  <c:v>0.26566736499999999</c:v>
                </c:pt>
                <c:pt idx="62">
                  <c:v>0.29717645500000001</c:v>
                </c:pt>
                <c:pt idx="63">
                  <c:v>0.32980333899999997</c:v>
                </c:pt>
                <c:pt idx="64">
                  <c:v>0.36335473400000001</c:v>
                </c:pt>
                <c:pt idx="65">
                  <c:v>0.39762924900000002</c:v>
                </c:pt>
                <c:pt idx="66">
                  <c:v>0.43241738200000002</c:v>
                </c:pt>
                <c:pt idx="67">
                  <c:v>0.46750287200000001</c:v>
                </c:pt>
                <c:pt idx="68">
                  <c:v>0.50267351500000002</c:v>
                </c:pt>
                <c:pt idx="69">
                  <c:v>0.53771305000000003</c:v>
                </c:pt>
                <c:pt idx="70">
                  <c:v>0.57241602999999996</c:v>
                </c:pt>
                <c:pt idx="71">
                  <c:v>0.60658511900000001</c:v>
                </c:pt>
                <c:pt idx="72">
                  <c:v>0.64003379100000002</c:v>
                </c:pt>
                <c:pt idx="73">
                  <c:v>0.67258498300000003</c:v>
                </c:pt>
                <c:pt idx="74">
                  <c:v>0.70408190800000003</c:v>
                </c:pt>
                <c:pt idx="75">
                  <c:v>0.73437723899999996</c:v>
                </c:pt>
                <c:pt idx="76">
                  <c:v>0.76334932799999999</c:v>
                </c:pt>
                <c:pt idx="77">
                  <c:v>0.79089274899999995</c:v>
                </c:pt>
                <c:pt idx="78">
                  <c:v>0.816927756</c:v>
                </c:pt>
                <c:pt idx="79">
                  <c:v>0.84140298700000005</c:v>
                </c:pt>
                <c:pt idx="80">
                  <c:v>0.86429681700000005</c:v>
                </c:pt>
                <c:pt idx="81">
                  <c:v>0.88561870600000003</c:v>
                </c:pt>
                <c:pt idx="82">
                  <c:v>0.90541866599999998</c:v>
                </c:pt>
                <c:pt idx="83">
                  <c:v>0.92378184799999996</c:v>
                </c:pt>
                <c:pt idx="84">
                  <c:v>0.94083395299999995</c:v>
                </c:pt>
                <c:pt idx="85">
                  <c:v>0.95674528599999997</c:v>
                </c:pt>
                <c:pt idx="86">
                  <c:v>0.97172805299999998</c:v>
                </c:pt>
                <c:pt idx="87">
                  <c:v>0.98604311700000002</c:v>
                </c:pt>
              </c:numCache>
            </c:numRef>
          </c:xVal>
          <c:yVal>
            <c:numRef>
              <c:f>section_022!$H$2:$H$89</c:f>
              <c:numCache>
                <c:formatCode>General</c:formatCode>
                <c:ptCount val="88"/>
                <c:pt idx="0">
                  <c:v>0.19226099999999999</c:v>
                </c:pt>
                <c:pt idx="1">
                  <c:v>0.164878</c:v>
                </c:pt>
                <c:pt idx="2">
                  <c:v>0.14168</c:v>
                </c:pt>
                <c:pt idx="3">
                  <c:v>0.11482000000000001</c:v>
                </c:pt>
                <c:pt idx="4">
                  <c:v>8.8410699999999995E-2</c:v>
                </c:pt>
                <c:pt idx="5">
                  <c:v>6.1168800000000002E-2</c:v>
                </c:pt>
                <c:pt idx="6">
                  <c:v>3.4118599999999999E-2</c:v>
                </c:pt>
                <c:pt idx="7">
                  <c:v>7.5195100000000001E-3</c:v>
                </c:pt>
                <c:pt idx="8">
                  <c:v>-1.77352E-2</c:v>
                </c:pt>
                <c:pt idx="9">
                  <c:v>-4.1544699999999997E-2</c:v>
                </c:pt>
                <c:pt idx="10">
                  <c:v>-6.3631699999999999E-2</c:v>
                </c:pt>
                <c:pt idx="11">
                  <c:v>-8.4564799999999996E-2</c:v>
                </c:pt>
                <c:pt idx="12">
                  <c:v>-0.104865</c:v>
                </c:pt>
                <c:pt idx="13">
                  <c:v>-0.12548300000000001</c:v>
                </c:pt>
                <c:pt idx="14">
                  <c:v>-0.14702799999999999</c:v>
                </c:pt>
                <c:pt idx="15">
                  <c:v>-0.169991</c:v>
                </c:pt>
                <c:pt idx="16">
                  <c:v>-0.19406399999999999</c:v>
                </c:pt>
                <c:pt idx="17">
                  <c:v>-0.21810299999999999</c:v>
                </c:pt>
                <c:pt idx="18">
                  <c:v>-0.239893</c:v>
                </c:pt>
                <c:pt idx="19">
                  <c:v>-0.25665300000000002</c:v>
                </c:pt>
                <c:pt idx="20">
                  <c:v>-0.26574599999999998</c:v>
                </c:pt>
                <c:pt idx="21">
                  <c:v>-0.26576499999999997</c:v>
                </c:pt>
                <c:pt idx="22">
                  <c:v>-0.25688800000000001</c:v>
                </c:pt>
                <c:pt idx="23">
                  <c:v>-0.24071899999999999</c:v>
                </c:pt>
                <c:pt idx="24">
                  <c:v>-0.21956500000000001</c:v>
                </c:pt>
                <c:pt idx="25">
                  <c:v>-0.19581699999999999</c:v>
                </c:pt>
                <c:pt idx="26">
                  <c:v>-0.171515</c:v>
                </c:pt>
                <c:pt idx="27">
                  <c:v>-0.14810499999999999</c:v>
                </c:pt>
                <c:pt idx="28">
                  <c:v>-0.12628700000000001</c:v>
                </c:pt>
                <c:pt idx="29">
                  <c:v>-0.106115</c:v>
                </c:pt>
                <c:pt idx="30">
                  <c:v>-8.7084999999999996E-2</c:v>
                </c:pt>
                <c:pt idx="31">
                  <c:v>-6.8388199999999996E-2</c:v>
                </c:pt>
                <c:pt idx="32">
                  <c:v>-4.9165300000000002E-2</c:v>
                </c:pt>
                <c:pt idx="33">
                  <c:v>-2.89746E-2</c:v>
                </c:pt>
                <c:pt idx="34">
                  <c:v>-7.9790899999999994E-3</c:v>
                </c:pt>
                <c:pt idx="35">
                  <c:v>1.3247500000000001E-2</c:v>
                </c:pt>
                <c:pt idx="36">
                  <c:v>2.2407E-2</c:v>
                </c:pt>
                <c:pt idx="37">
                  <c:v>-2.0562000000000002E-3</c:v>
                </c:pt>
                <c:pt idx="38">
                  <c:v>-1.7212600000000002E-2</c:v>
                </c:pt>
                <c:pt idx="39">
                  <c:v>6.9034999999999999E-2</c:v>
                </c:pt>
                <c:pt idx="40">
                  <c:v>0.27155600000000002</c:v>
                </c:pt>
                <c:pt idx="41">
                  <c:v>0.52183999999999997</c:v>
                </c:pt>
                <c:pt idx="42">
                  <c:v>0.74024699999999999</c:v>
                </c:pt>
                <c:pt idx="43">
                  <c:v>0.86160099999999995</c:v>
                </c:pt>
                <c:pt idx="44">
                  <c:v>0.82196100000000005</c:v>
                </c:pt>
                <c:pt idx="45">
                  <c:v>0.60228000000000004</c:v>
                </c:pt>
                <c:pt idx="46">
                  <c:v>0.27462399999999998</c:v>
                </c:pt>
                <c:pt idx="47">
                  <c:v>-8.8171299999999994E-2</c:v>
                </c:pt>
                <c:pt idx="48">
                  <c:v>-0.44520999999999999</c:v>
                </c:pt>
                <c:pt idx="49">
                  <c:v>-0.72955999999999999</c:v>
                </c:pt>
                <c:pt idx="50">
                  <c:v>-0.869224</c:v>
                </c:pt>
                <c:pt idx="51">
                  <c:v>-0.83355199999999996</c:v>
                </c:pt>
                <c:pt idx="52">
                  <c:v>-0.67734899999999998</c:v>
                </c:pt>
                <c:pt idx="53">
                  <c:v>-0.53877399999999998</c:v>
                </c:pt>
                <c:pt idx="54">
                  <c:v>-0.48270000000000002</c:v>
                </c:pt>
                <c:pt idx="55">
                  <c:v>-0.47256599999999999</c:v>
                </c:pt>
                <c:pt idx="56">
                  <c:v>-0.47367399999999998</c:v>
                </c:pt>
                <c:pt idx="57">
                  <c:v>-0.47416000000000003</c:v>
                </c:pt>
                <c:pt idx="58">
                  <c:v>-0.47360600000000003</c:v>
                </c:pt>
                <c:pt idx="59">
                  <c:v>-0.474854</c:v>
                </c:pt>
                <c:pt idx="60">
                  <c:v>-0.48022999999999999</c:v>
                </c:pt>
                <c:pt idx="61">
                  <c:v>-0.49087500000000001</c:v>
                </c:pt>
                <c:pt idx="62">
                  <c:v>-0.50680099999999995</c:v>
                </c:pt>
                <c:pt idx="63">
                  <c:v>-0.52741300000000002</c:v>
                </c:pt>
                <c:pt idx="64">
                  <c:v>-0.55191400000000002</c:v>
                </c:pt>
                <c:pt idx="65">
                  <c:v>-0.57950699999999999</c:v>
                </c:pt>
                <c:pt idx="66">
                  <c:v>-0.61018899999999998</c:v>
                </c:pt>
                <c:pt idx="67">
                  <c:v>-0.64146899999999996</c:v>
                </c:pt>
                <c:pt idx="68">
                  <c:v>-0.66171100000000005</c:v>
                </c:pt>
                <c:pt idx="69">
                  <c:v>-0.64596399999999998</c:v>
                </c:pt>
                <c:pt idx="70">
                  <c:v>-0.56965699999999997</c:v>
                </c:pt>
                <c:pt idx="71">
                  <c:v>-0.44282899999999997</c:v>
                </c:pt>
                <c:pt idx="72">
                  <c:v>-0.31981199999999999</c:v>
                </c:pt>
                <c:pt idx="73">
                  <c:v>-0.23433200000000001</c:v>
                </c:pt>
                <c:pt idx="74">
                  <c:v>-0.180588</c:v>
                </c:pt>
                <c:pt idx="75">
                  <c:v>-0.14440500000000001</c:v>
                </c:pt>
                <c:pt idx="76">
                  <c:v>-0.113944</c:v>
                </c:pt>
                <c:pt idx="77">
                  <c:v>-8.3802299999999996E-2</c:v>
                </c:pt>
                <c:pt idx="78">
                  <c:v>-5.4105100000000003E-2</c:v>
                </c:pt>
                <c:pt idx="79">
                  <c:v>-2.5282800000000001E-2</c:v>
                </c:pt>
                <c:pt idx="80">
                  <c:v>3.04557E-3</c:v>
                </c:pt>
                <c:pt idx="81">
                  <c:v>3.0764199999999998E-2</c:v>
                </c:pt>
                <c:pt idx="82">
                  <c:v>5.7656899999999997E-2</c:v>
                </c:pt>
                <c:pt idx="83">
                  <c:v>8.2950899999999994E-2</c:v>
                </c:pt>
                <c:pt idx="84">
                  <c:v>0.106846</c:v>
                </c:pt>
                <c:pt idx="85">
                  <c:v>0.12812100000000001</c:v>
                </c:pt>
                <c:pt idx="86">
                  <c:v>0.148782</c:v>
                </c:pt>
                <c:pt idx="87">
                  <c:v>0.163992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76-4D60-993C-3CED0E740371}"/>
            </c:ext>
          </c:extLst>
        </c:ser>
        <c:ser>
          <c:idx val="1"/>
          <c:order val="1"/>
          <c:tx>
            <c:v>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section_022!$I$91:$I$124</c:f>
              <c:numCache>
                <c:formatCode>0.00E+00</c:formatCode>
                <c:ptCount val="34"/>
                <c:pt idx="0">
                  <c:v>0.95</c:v>
                </c:pt>
                <c:pt idx="1">
                  <c:v>0.81599999999999995</c:v>
                </c:pt>
                <c:pt idx="2">
                  <c:v>0.66600000000000004</c:v>
                </c:pt>
                <c:pt idx="3">
                  <c:v>0.56599999999999995</c:v>
                </c:pt>
                <c:pt idx="4">
                  <c:v>0.46600000000000003</c:v>
                </c:pt>
                <c:pt idx="5">
                  <c:v>0.36599999999999999</c:v>
                </c:pt>
                <c:pt idx="6">
                  <c:v>0.26600000000000001</c:v>
                </c:pt>
                <c:pt idx="7">
                  <c:v>0.16600000000000001</c:v>
                </c:pt>
                <c:pt idx="8">
                  <c:v>4.99E-2</c:v>
                </c:pt>
                <c:pt idx="9">
                  <c:v>0.02</c:v>
                </c:pt>
                <c:pt idx="10">
                  <c:v>5.9300000000000004E-3</c:v>
                </c:pt>
                <c:pt idx="11">
                  <c:v>3.4000000000000002E-4</c:v>
                </c:pt>
                <c:pt idx="12">
                  <c:v>2.16E-3</c:v>
                </c:pt>
                <c:pt idx="13">
                  <c:v>8.6599999999999993E-3</c:v>
                </c:pt>
                <c:pt idx="14">
                  <c:v>2.0400000000000001E-2</c:v>
                </c:pt>
                <c:pt idx="15">
                  <c:v>3.5299999999999998E-2</c:v>
                </c:pt>
                <c:pt idx="16">
                  <c:v>6.0400000000000002E-2</c:v>
                </c:pt>
                <c:pt idx="17">
                  <c:v>9.9599999999999994E-2</c:v>
                </c:pt>
                <c:pt idx="18">
                  <c:v>0.15</c:v>
                </c:pt>
                <c:pt idx="19">
                  <c:v>0.2</c:v>
                </c:pt>
                <c:pt idx="20">
                  <c:v>0.25</c:v>
                </c:pt>
                <c:pt idx="21">
                  <c:v>0.30099999999999999</c:v>
                </c:pt>
                <c:pt idx="22">
                  <c:v>0.35099999999999998</c:v>
                </c:pt>
                <c:pt idx="23">
                  <c:v>0.4</c:v>
                </c:pt>
                <c:pt idx="24">
                  <c:v>0.45</c:v>
                </c:pt>
                <c:pt idx="25">
                  <c:v>0.5</c:v>
                </c:pt>
                <c:pt idx="26">
                  <c:v>0.55000000000000004</c:v>
                </c:pt>
                <c:pt idx="27">
                  <c:v>0.6</c:v>
                </c:pt>
                <c:pt idx="28">
                  <c:v>0.65</c:v>
                </c:pt>
                <c:pt idx="29">
                  <c:v>0.71</c:v>
                </c:pt>
                <c:pt idx="30">
                  <c:v>0.78</c:v>
                </c:pt>
                <c:pt idx="31">
                  <c:v>0.85</c:v>
                </c:pt>
                <c:pt idx="32">
                  <c:v>0.92</c:v>
                </c:pt>
                <c:pt idx="33">
                  <c:v>0.98499999999999999</c:v>
                </c:pt>
              </c:numCache>
            </c:numRef>
          </c:xVal>
          <c:yVal>
            <c:numRef>
              <c:f>section_022!$K$91:$K$124</c:f>
              <c:numCache>
                <c:formatCode>0.00E+00</c:formatCode>
                <c:ptCount val="34"/>
                <c:pt idx="0">
                  <c:v>0.10100000000000001</c:v>
                </c:pt>
                <c:pt idx="1">
                  <c:v>-7.85E-2</c:v>
                </c:pt>
                <c:pt idx="2">
                  <c:v>-0.17100000000000001</c:v>
                </c:pt>
                <c:pt idx="3">
                  <c:v>-0.22900000000000001</c:v>
                </c:pt>
                <c:pt idx="4">
                  <c:v>-0.26300000000000001</c:v>
                </c:pt>
                <c:pt idx="5">
                  <c:v>-0.215</c:v>
                </c:pt>
                <c:pt idx="6">
                  <c:v>-0.16400000000000001</c:v>
                </c:pt>
                <c:pt idx="7">
                  <c:v>-9.2299999999999993E-2</c:v>
                </c:pt>
                <c:pt idx="8">
                  <c:v>-4.6399999999999997E-2</c:v>
                </c:pt>
                <c:pt idx="9">
                  <c:v>-3.4299999999999997E-2</c:v>
                </c:pt>
                <c:pt idx="10">
                  <c:v>0.54900000000000004</c:v>
                </c:pt>
                <c:pt idx="11">
                  <c:v>0.80100000000000005</c:v>
                </c:pt>
                <c:pt idx="12">
                  <c:v>0.44400000000000001</c:v>
                </c:pt>
                <c:pt idx="13">
                  <c:v>-0.16800000000000001</c:v>
                </c:pt>
                <c:pt idx="14">
                  <c:v>-0.70699999999999996</c:v>
                </c:pt>
                <c:pt idx="15">
                  <c:v>-1.07</c:v>
                </c:pt>
                <c:pt idx="16">
                  <c:v>-0.629</c:v>
                </c:pt>
                <c:pt idx="17">
                  <c:v>-0.46500000000000002</c:v>
                </c:pt>
                <c:pt idx="18">
                  <c:v>-0.442</c:v>
                </c:pt>
                <c:pt idx="19">
                  <c:v>-0.45500000000000002</c:v>
                </c:pt>
                <c:pt idx="20">
                  <c:v>-0.45900000000000002</c:v>
                </c:pt>
                <c:pt idx="21">
                  <c:v>-0.46200000000000002</c:v>
                </c:pt>
                <c:pt idx="22">
                  <c:v>-0.48099999999999998</c:v>
                </c:pt>
                <c:pt idx="23">
                  <c:v>-0.505</c:v>
                </c:pt>
                <c:pt idx="24">
                  <c:v>-0.54700000000000004</c:v>
                </c:pt>
                <c:pt idx="25">
                  <c:v>-0.57599999999999996</c:v>
                </c:pt>
                <c:pt idx="26">
                  <c:v>-0.57999999999999996</c:v>
                </c:pt>
                <c:pt idx="27">
                  <c:v>-0.39800000000000002</c:v>
                </c:pt>
                <c:pt idx="28">
                  <c:v>-0.307</c:v>
                </c:pt>
                <c:pt idx="29">
                  <c:v>-0.23799999999999999</c:v>
                </c:pt>
                <c:pt idx="30">
                  <c:v>-0.16</c:v>
                </c:pt>
                <c:pt idx="31">
                  <c:v>-5.8200000000000002E-2</c:v>
                </c:pt>
                <c:pt idx="32">
                  <c:v>5.9499999999999997E-2</c:v>
                </c:pt>
                <c:pt idx="33">
                  <c:v>0.17599999999999999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76-4D60-993C-3CED0E740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701023"/>
        <c:axId val="1709714943"/>
      </c:scatterChart>
      <c:valAx>
        <c:axId val="1709701023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9714943"/>
        <c:crosses val="autoZero"/>
        <c:crossBetween val="midCat"/>
      </c:valAx>
      <c:valAx>
        <c:axId val="170971494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9701023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01111111111111"/>
          <c:y val="0.23486038203557888"/>
          <c:w val="0.12555577427821521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Sec. 44%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62270341207349E-2"/>
          <c:y val="0.20467592592592593"/>
          <c:w val="0.8769050743657042"/>
          <c:h val="0.6882950568678915"/>
        </c:manualLayout>
      </c:layout>
      <c:scatterChart>
        <c:scatterStyle val="smooth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section_044!$H$2:$H$90</c:f>
              <c:numCache>
                <c:formatCode>0.000000_ </c:formatCode>
                <c:ptCount val="89"/>
                <c:pt idx="0">
                  <c:v>1</c:v>
                </c:pt>
                <c:pt idx="1">
                  <c:v>0.98604341246947902</c:v>
                </c:pt>
                <c:pt idx="2">
                  <c:v>0.97172830963182955</c:v>
                </c:pt>
                <c:pt idx="3">
                  <c:v>0.95674489000433804</c:v>
                </c:pt>
                <c:pt idx="4">
                  <c:v>0.94083360264241001</c:v>
                </c:pt>
                <c:pt idx="5">
                  <c:v>0.923781305355309</c:v>
                </c:pt>
                <c:pt idx="6">
                  <c:v>0.90541834495012052</c:v>
                </c:pt>
                <c:pt idx="7">
                  <c:v>0.88561855723175165</c:v>
                </c:pt>
                <c:pt idx="8">
                  <c:v>0.86429573256141135</c:v>
                </c:pt>
                <c:pt idx="9">
                  <c:v>0.84140254015701832</c:v>
                </c:pt>
                <c:pt idx="10">
                  <c:v>0.81692730099442279</c:v>
                </c:pt>
                <c:pt idx="11">
                  <c:v>0.79089199007959099</c:v>
                </c:pt>
                <c:pt idx="12">
                  <c:v>0.76334854833571608</c:v>
                </c:pt>
                <c:pt idx="13">
                  <c:v>0.73437673120403202</c:v>
                </c:pt>
                <c:pt idx="14">
                  <c:v>0.70408011318818464</c:v>
                </c:pt>
                <c:pt idx="15">
                  <c:v>0.67258409012641474</c:v>
                </c:pt>
                <c:pt idx="16">
                  <c:v>0.64003203740729975</c:v>
                </c:pt>
                <c:pt idx="17">
                  <c:v>0.60658438794153058</c:v>
                </c:pt>
                <c:pt idx="18">
                  <c:v>0.57241509772039267</c:v>
                </c:pt>
                <c:pt idx="19">
                  <c:v>0.5377114921443964</c:v>
                </c:pt>
                <c:pt idx="20">
                  <c:v>0.50267165360997856</c:v>
                </c:pt>
                <c:pt idx="21">
                  <c:v>0.46750196276757838</c:v>
                </c:pt>
                <c:pt idx="22">
                  <c:v>0.43241571547930169</c:v>
                </c:pt>
                <c:pt idx="23">
                  <c:v>0.39762805166370002</c:v>
                </c:pt>
                <c:pt idx="24">
                  <c:v>0.36335334288247234</c:v>
                </c:pt>
                <c:pt idx="25">
                  <c:v>0.32980165789894672</c:v>
                </c:pt>
                <c:pt idx="26">
                  <c:v>0.29717522823656106</c:v>
                </c:pt>
                <c:pt idx="27">
                  <c:v>0.26566583576556696</c:v>
                </c:pt>
                <c:pt idx="28">
                  <c:v>0.23545404434617673</c:v>
                </c:pt>
                <c:pt idx="29">
                  <c:v>0.20670458968745248</c:v>
                </c:pt>
                <c:pt idx="30">
                  <c:v>0.17956637934730549</c:v>
                </c:pt>
                <c:pt idx="31">
                  <c:v>0.15416834360549608</c:v>
                </c:pt>
                <c:pt idx="32">
                  <c:v>0.13061866710678152</c:v>
                </c:pt>
                <c:pt idx="33">
                  <c:v>0.10899987137706299</c:v>
                </c:pt>
                <c:pt idx="34">
                  <c:v>8.9366817095571136E-2</c:v>
                </c:pt>
                <c:pt idx="35">
                  <c:v>7.1743015981976202E-2</c:v>
                </c:pt>
                <c:pt idx="36">
                  <c:v>5.611694268349865E-2</c:v>
                </c:pt>
                <c:pt idx="37">
                  <c:v>4.2440959075316385E-2</c:v>
                </c:pt>
                <c:pt idx="38">
                  <c:v>3.0681103784572443E-2</c:v>
                </c:pt>
                <c:pt idx="39">
                  <c:v>2.0875333639754041E-2</c:v>
                </c:pt>
                <c:pt idx="40">
                  <c:v>1.3085885545870687E-2</c:v>
                </c:pt>
                <c:pt idx="41">
                  <c:v>7.265121378100264E-3</c:v>
                </c:pt>
                <c:pt idx="42">
                  <c:v>3.2286354919704701E-3</c:v>
                </c:pt>
                <c:pt idx="43">
                  <c:v>8.1614864816064825E-4</c:v>
                </c:pt>
                <c:pt idx="45">
                  <c:v>0</c:v>
                </c:pt>
                <c:pt idx="46">
                  <c:v>8.1614864816064825E-4</c:v>
                </c:pt>
                <c:pt idx="47">
                  <c:v>3.2286354919704701E-3</c:v>
                </c:pt>
                <c:pt idx="48">
                  <c:v>7.265121378100264E-3</c:v>
                </c:pt>
                <c:pt idx="49">
                  <c:v>1.3085885545870687E-2</c:v>
                </c:pt>
                <c:pt idx="50">
                  <c:v>2.0875333639754041E-2</c:v>
                </c:pt>
                <c:pt idx="51">
                  <c:v>3.0681103784572443E-2</c:v>
                </c:pt>
                <c:pt idx="52">
                  <c:v>4.2440959075316385E-2</c:v>
                </c:pt>
                <c:pt idx="53">
                  <c:v>5.611694268349865E-2</c:v>
                </c:pt>
                <c:pt idx="54">
                  <c:v>7.1743015981976202E-2</c:v>
                </c:pt>
                <c:pt idx="55">
                  <c:v>8.9366817095571136E-2</c:v>
                </c:pt>
                <c:pt idx="56">
                  <c:v>0.10899987137706299</c:v>
                </c:pt>
                <c:pt idx="57">
                  <c:v>0.13061866710678152</c:v>
                </c:pt>
                <c:pt idx="58">
                  <c:v>0.15416834360549608</c:v>
                </c:pt>
                <c:pt idx="59">
                  <c:v>0.17956637934730549</c:v>
                </c:pt>
                <c:pt idx="60">
                  <c:v>0.20670458968745248</c:v>
                </c:pt>
                <c:pt idx="61">
                  <c:v>0.23545404434617673</c:v>
                </c:pt>
                <c:pt idx="62">
                  <c:v>0.26566583576556696</c:v>
                </c:pt>
                <c:pt idx="63">
                  <c:v>0.29717522823656106</c:v>
                </c:pt>
                <c:pt idx="64">
                  <c:v>0.32980165789894672</c:v>
                </c:pt>
                <c:pt idx="65">
                  <c:v>0.36335334288247234</c:v>
                </c:pt>
                <c:pt idx="66">
                  <c:v>0.39762805166370002</c:v>
                </c:pt>
                <c:pt idx="67">
                  <c:v>0.43241571547930169</c:v>
                </c:pt>
                <c:pt idx="68">
                  <c:v>0.46750196276757838</c:v>
                </c:pt>
                <c:pt idx="69">
                  <c:v>0.50267165360997856</c:v>
                </c:pt>
                <c:pt idx="70">
                  <c:v>0.5377114921443964</c:v>
                </c:pt>
                <c:pt idx="71">
                  <c:v>0.57241509772039267</c:v>
                </c:pt>
                <c:pt idx="72">
                  <c:v>0.60658438794153058</c:v>
                </c:pt>
                <c:pt idx="73">
                  <c:v>0.64003203740729975</c:v>
                </c:pt>
                <c:pt idx="74">
                  <c:v>0.67258409012641474</c:v>
                </c:pt>
                <c:pt idx="75">
                  <c:v>0.70408011318818464</c:v>
                </c:pt>
                <c:pt idx="76">
                  <c:v>0.73437673120403202</c:v>
                </c:pt>
                <c:pt idx="77">
                  <c:v>0.76334854833571608</c:v>
                </c:pt>
                <c:pt idx="78">
                  <c:v>0.79089199007959099</c:v>
                </c:pt>
                <c:pt idx="79">
                  <c:v>0.81692730099442279</c:v>
                </c:pt>
                <c:pt idx="80">
                  <c:v>0.84140254015701832</c:v>
                </c:pt>
                <c:pt idx="81">
                  <c:v>0.86429573256141135</c:v>
                </c:pt>
                <c:pt idx="82">
                  <c:v>0.88561855723175165</c:v>
                </c:pt>
                <c:pt idx="83">
                  <c:v>0.90541834495012052</c:v>
                </c:pt>
                <c:pt idx="84">
                  <c:v>0.923781305355309</c:v>
                </c:pt>
                <c:pt idx="85">
                  <c:v>0.94083360264241001</c:v>
                </c:pt>
                <c:pt idx="86">
                  <c:v>0.95674489000433804</c:v>
                </c:pt>
                <c:pt idx="87">
                  <c:v>0.97172830963182955</c:v>
                </c:pt>
                <c:pt idx="88">
                  <c:v>0.98604341246947902</c:v>
                </c:pt>
              </c:numCache>
            </c:numRef>
          </c:xVal>
          <c:yVal>
            <c:numRef>
              <c:f>section_044!$I$2:$I$90</c:f>
              <c:numCache>
                <c:formatCode>0.000000_ </c:formatCode>
                <c:ptCount val="89"/>
                <c:pt idx="0">
                  <c:v>0.20508670000000001</c:v>
                </c:pt>
                <c:pt idx="1">
                  <c:v>0.17752299999999999</c:v>
                </c:pt>
                <c:pt idx="2">
                  <c:v>0.1546392</c:v>
                </c:pt>
                <c:pt idx="3">
                  <c:v>0.12865209999999999</c:v>
                </c:pt>
                <c:pt idx="4">
                  <c:v>0.1031045</c:v>
                </c:pt>
                <c:pt idx="5">
                  <c:v>7.7011189999999993E-2</c:v>
                </c:pt>
                <c:pt idx="6">
                  <c:v>5.1121439999999997E-2</c:v>
                </c:pt>
                <c:pt idx="7">
                  <c:v>2.5807509999999999E-2</c:v>
                </c:pt>
                <c:pt idx="8">
                  <c:v>1.787554E-3</c:v>
                </c:pt>
                <c:pt idx="9">
                  <c:v>-2.0830629999999999E-2</c:v>
                </c:pt>
                <c:pt idx="10">
                  <c:v>-4.1917990000000002E-2</c:v>
                </c:pt>
                <c:pt idx="11">
                  <c:v>-6.2065620000000002E-2</c:v>
                </c:pt>
                <c:pt idx="12">
                  <c:v>-8.1882769999999994E-2</c:v>
                </c:pt>
                <c:pt idx="13">
                  <c:v>-0.10234409999999999</c:v>
                </c:pt>
                <c:pt idx="14">
                  <c:v>-0.12411759999999999</c:v>
                </c:pt>
                <c:pt idx="15">
                  <c:v>-0.14769009999999999</c:v>
                </c:pt>
                <c:pt idx="16">
                  <c:v>-0.17289370000000001</c:v>
                </c:pt>
                <c:pt idx="17">
                  <c:v>-0.1990276</c:v>
                </c:pt>
                <c:pt idx="18">
                  <c:v>-0.22459599999999999</c:v>
                </c:pt>
                <c:pt idx="19">
                  <c:v>-0.2473342</c:v>
                </c:pt>
                <c:pt idx="20">
                  <c:v>-0.26437129999999998</c:v>
                </c:pt>
                <c:pt idx="21">
                  <c:v>-0.273316</c:v>
                </c:pt>
                <c:pt idx="22">
                  <c:v>-0.27315230000000001</c:v>
                </c:pt>
                <c:pt idx="23">
                  <c:v>-0.26459820000000001</c:v>
                </c:pt>
                <c:pt idx="24">
                  <c:v>-0.24959100000000001</c:v>
                </c:pt>
                <c:pt idx="25">
                  <c:v>-0.23055229999999999</c:v>
                </c:pt>
                <c:pt idx="26">
                  <c:v>-0.2097049</c:v>
                </c:pt>
                <c:pt idx="27">
                  <c:v>-0.18873780000000001</c:v>
                </c:pt>
                <c:pt idx="28">
                  <c:v>-0.1685992</c:v>
                </c:pt>
                <c:pt idx="29">
                  <c:v>-0.1495147</c:v>
                </c:pt>
                <c:pt idx="30">
                  <c:v>-0.13106010000000001</c:v>
                </c:pt>
                <c:pt idx="31">
                  <c:v>-0.1123902</c:v>
                </c:pt>
                <c:pt idx="32">
                  <c:v>-9.2547459999999998E-2</c:v>
                </c:pt>
                <c:pt idx="33">
                  <c:v>-7.1094539999999998E-2</c:v>
                </c:pt>
                <c:pt idx="34">
                  <c:v>-4.8406650000000002E-2</c:v>
                </c:pt>
                <c:pt idx="35">
                  <c:v>-2.498939E-2</c:v>
                </c:pt>
                <c:pt idx="36">
                  <c:v>-1.239997E-2</c:v>
                </c:pt>
                <c:pt idx="37">
                  <c:v>-3.2633240000000001E-2</c:v>
                </c:pt>
                <c:pt idx="38">
                  <c:v>-4.489253E-2</c:v>
                </c:pt>
                <c:pt idx="39">
                  <c:v>4.4292310000000001E-2</c:v>
                </c:pt>
                <c:pt idx="40">
                  <c:v>0.2505637</c:v>
                </c:pt>
                <c:pt idx="41">
                  <c:v>0.50295590000000001</c:v>
                </c:pt>
                <c:pt idx="42">
                  <c:v>0.72161569999999997</c:v>
                </c:pt>
                <c:pt idx="43">
                  <c:v>0.83712690000000001</c:v>
                </c:pt>
                <c:pt idx="45">
                  <c:v>0.78141729999999998</c:v>
                </c:pt>
                <c:pt idx="46">
                  <c:v>0.53813750000000005</c:v>
                </c:pt>
                <c:pt idx="47">
                  <c:v>0.18628839999999999</c:v>
                </c:pt>
                <c:pt idx="48">
                  <c:v>-0.19532540000000001</c:v>
                </c:pt>
                <c:pt idx="49">
                  <c:v>-0.56757769999999996</c:v>
                </c:pt>
                <c:pt idx="50">
                  <c:v>-0.87354940000000003</c:v>
                </c:pt>
                <c:pt idx="51">
                  <c:v>-1.0542400000000001</c:v>
                </c:pt>
                <c:pt idx="52">
                  <c:v>-1.0994090000000001</c:v>
                </c:pt>
                <c:pt idx="53">
                  <c:v>-1.0509310000000001</c:v>
                </c:pt>
                <c:pt idx="54">
                  <c:v>-0.95449729999999999</c:v>
                </c:pt>
                <c:pt idx="55">
                  <c:v>-0.81911299999999998</c:v>
                </c:pt>
                <c:pt idx="56">
                  <c:v>-0.68665469999999995</c:v>
                </c:pt>
                <c:pt idx="57">
                  <c:v>-0.61151699999999998</c:v>
                </c:pt>
                <c:pt idx="58">
                  <c:v>-0.58692500000000003</c:v>
                </c:pt>
                <c:pt idx="59">
                  <c:v>-0.586731</c:v>
                </c:pt>
                <c:pt idx="60">
                  <c:v>-0.59193050000000003</c:v>
                </c:pt>
                <c:pt idx="61">
                  <c:v>-0.59674439999999995</c:v>
                </c:pt>
                <c:pt idx="62">
                  <c:v>-0.60199579999999997</c:v>
                </c:pt>
                <c:pt idx="63">
                  <c:v>-0.6110063</c:v>
                </c:pt>
                <c:pt idx="64">
                  <c:v>-0.6271253</c:v>
                </c:pt>
                <c:pt idx="65">
                  <c:v>-0.65305500000000005</c:v>
                </c:pt>
                <c:pt idx="66">
                  <c:v>-0.68678550000000005</c:v>
                </c:pt>
                <c:pt idx="67">
                  <c:v>-0.71501020000000004</c:v>
                </c:pt>
                <c:pt idx="68">
                  <c:v>-0.69907900000000001</c:v>
                </c:pt>
                <c:pt idx="69">
                  <c:v>-0.59090969999999998</c:v>
                </c:pt>
                <c:pt idx="70">
                  <c:v>-0.40785149999999998</c:v>
                </c:pt>
                <c:pt idx="71">
                  <c:v>-0.27013019999999999</c:v>
                </c:pt>
                <c:pt idx="72">
                  <c:v>-0.21200260000000001</c:v>
                </c:pt>
                <c:pt idx="73">
                  <c:v>-0.1825387</c:v>
                </c:pt>
                <c:pt idx="74">
                  <c:v>-0.1538176</c:v>
                </c:pt>
                <c:pt idx="75">
                  <c:v>-0.1228564</c:v>
                </c:pt>
                <c:pt idx="76">
                  <c:v>-9.2981289999999994E-2</c:v>
                </c:pt>
                <c:pt idx="77">
                  <c:v>-6.5200279999999999E-2</c:v>
                </c:pt>
                <c:pt idx="78">
                  <c:v>-3.8951180000000002E-2</c:v>
                </c:pt>
                <c:pt idx="79">
                  <c:v>-1.343885E-2</c:v>
                </c:pt>
                <c:pt idx="80">
                  <c:v>1.171267E-2</c:v>
                </c:pt>
                <c:pt idx="81">
                  <c:v>3.6678309999999999E-2</c:v>
                </c:pt>
                <c:pt idx="82">
                  <c:v>6.110521E-2</c:v>
                </c:pt>
                <c:pt idx="83">
                  <c:v>8.4863480000000005E-2</c:v>
                </c:pt>
                <c:pt idx="84">
                  <c:v>0.1072008</c:v>
                </c:pt>
                <c:pt idx="85">
                  <c:v>0.12838040000000001</c:v>
                </c:pt>
                <c:pt idx="86">
                  <c:v>0.14724080000000001</c:v>
                </c:pt>
                <c:pt idx="87">
                  <c:v>0.165743</c:v>
                </c:pt>
                <c:pt idx="88">
                  <c:v>0.1793131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CD-44C3-A81B-7B34F143799D}"/>
            </c:ext>
          </c:extLst>
        </c:ser>
        <c:ser>
          <c:idx val="1"/>
          <c:order val="1"/>
          <c:tx>
            <c:v>Exp.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section_044!$J$92:$J$125</c:f>
              <c:numCache>
                <c:formatCode>0.00E+00</c:formatCode>
                <c:ptCount val="34"/>
                <c:pt idx="0">
                  <c:v>0.94937000000000005</c:v>
                </c:pt>
                <c:pt idx="1">
                  <c:v>0.81705000000000005</c:v>
                </c:pt>
                <c:pt idx="2">
                  <c:v>0.66698000000000002</c:v>
                </c:pt>
                <c:pt idx="3">
                  <c:v>0.56705000000000005</c:v>
                </c:pt>
                <c:pt idx="4">
                  <c:v>0.46705999999999998</c:v>
                </c:pt>
                <c:pt idx="5">
                  <c:v>0.36704999999999999</c:v>
                </c:pt>
                <c:pt idx="6">
                  <c:v>0.26705000000000001</c:v>
                </c:pt>
                <c:pt idx="7">
                  <c:v>0.16699</c:v>
                </c:pt>
                <c:pt idx="8">
                  <c:v>4.9090000000000002E-2</c:v>
                </c:pt>
                <c:pt idx="9">
                  <c:v>1.9220000000000001E-2</c:v>
                </c:pt>
                <c:pt idx="10">
                  <c:v>5.1999999999999998E-3</c:v>
                </c:pt>
                <c:pt idx="11">
                  <c:v>3.1E-4</c:v>
                </c:pt>
                <c:pt idx="12">
                  <c:v>1.08E-3</c:v>
                </c:pt>
                <c:pt idx="13">
                  <c:v>7.8899999999999994E-3</c:v>
                </c:pt>
                <c:pt idx="14">
                  <c:v>1.9060000000000001E-2</c:v>
                </c:pt>
                <c:pt idx="15">
                  <c:v>3.4020000000000002E-2</c:v>
                </c:pt>
                <c:pt idx="16">
                  <c:v>5.9110000000000003E-2</c:v>
                </c:pt>
                <c:pt idx="17">
                  <c:v>9.9129999999999996E-2</c:v>
                </c:pt>
                <c:pt idx="18">
                  <c:v>0.14927000000000001</c:v>
                </c:pt>
                <c:pt idx="19">
                  <c:v>0.19908999999999999</c:v>
                </c:pt>
                <c:pt idx="20">
                  <c:v>0.25080000000000002</c:v>
                </c:pt>
                <c:pt idx="21">
                  <c:v>0.29925000000000002</c:v>
                </c:pt>
                <c:pt idx="22">
                  <c:v>0.34927000000000002</c:v>
                </c:pt>
                <c:pt idx="23">
                  <c:v>0.39931</c:v>
                </c:pt>
                <c:pt idx="24">
                  <c:v>0.44896999999999998</c:v>
                </c:pt>
                <c:pt idx="25">
                  <c:v>0.49926999999999999</c:v>
                </c:pt>
                <c:pt idx="26">
                  <c:v>0.54927000000000004</c:v>
                </c:pt>
                <c:pt idx="27">
                  <c:v>0.59931000000000001</c:v>
                </c:pt>
                <c:pt idx="28">
                  <c:v>0.64917000000000002</c:v>
                </c:pt>
                <c:pt idx="29">
                  <c:v>0.70896999999999999</c:v>
                </c:pt>
                <c:pt idx="30">
                  <c:v>0.77912000000000003</c:v>
                </c:pt>
                <c:pt idx="31">
                  <c:v>0.84902999999999995</c:v>
                </c:pt>
                <c:pt idx="32">
                  <c:v>0.91929000000000005</c:v>
                </c:pt>
                <c:pt idx="33">
                  <c:v>0.98387000000000002</c:v>
                </c:pt>
              </c:numCache>
            </c:numRef>
          </c:xVal>
          <c:yVal>
            <c:numRef>
              <c:f>section_044!$L$92:$L$125</c:f>
              <c:numCache>
                <c:formatCode>0.00E+00</c:formatCode>
                <c:ptCount val="34"/>
                <c:pt idx="0">
                  <c:v>0.14299000000000001</c:v>
                </c:pt>
                <c:pt idx="1">
                  <c:v>-3.5908000000000002E-2</c:v>
                </c:pt>
                <c:pt idx="2">
                  <c:v>-0.15139</c:v>
                </c:pt>
                <c:pt idx="3">
                  <c:v>-0.22789000000000001</c:v>
                </c:pt>
                <c:pt idx="4">
                  <c:v>-0.26861000000000002</c:v>
                </c:pt>
                <c:pt idx="5">
                  <c:v>-0.23285</c:v>
                </c:pt>
                <c:pt idx="6">
                  <c:v>-0.18059</c:v>
                </c:pt>
                <c:pt idx="7">
                  <c:v>-0.13023000000000001</c:v>
                </c:pt>
                <c:pt idx="8">
                  <c:v>-4.4656000000000001E-2</c:v>
                </c:pt>
                <c:pt idx="9">
                  <c:v>-6.8050000000000003E-3</c:v>
                </c:pt>
                <c:pt idx="10">
                  <c:v>0.56459000000000004</c:v>
                </c:pt>
                <c:pt idx="11">
                  <c:v>0.78052999999999995</c:v>
                </c:pt>
                <c:pt idx="12">
                  <c:v>0.38780999999999999</c:v>
                </c:pt>
                <c:pt idx="13">
                  <c:v>-0.25602999999999998</c:v>
                </c:pt>
                <c:pt idx="14">
                  <c:v>-0.84167000000000003</c:v>
                </c:pt>
                <c:pt idx="15">
                  <c:v>-1.1274999999999999</c:v>
                </c:pt>
                <c:pt idx="16">
                  <c:v>-1.0922000000000001</c:v>
                </c:pt>
                <c:pt idx="17">
                  <c:v>-0.88885000000000003</c:v>
                </c:pt>
                <c:pt idx="18">
                  <c:v>-0.48757</c:v>
                </c:pt>
                <c:pt idx="19">
                  <c:v>-0.53837999999999997</c:v>
                </c:pt>
                <c:pt idx="20">
                  <c:v>-0.56135000000000002</c:v>
                </c:pt>
                <c:pt idx="21">
                  <c:v>-0.55871000000000004</c:v>
                </c:pt>
                <c:pt idx="22">
                  <c:v>-0.57989999999999997</c:v>
                </c:pt>
                <c:pt idx="23">
                  <c:v>-0.61441000000000001</c:v>
                </c:pt>
                <c:pt idx="24">
                  <c:v>-0.64705000000000001</c:v>
                </c:pt>
                <c:pt idx="25">
                  <c:v>-0.70106999999999997</c:v>
                </c:pt>
                <c:pt idx="26">
                  <c:v>-0.37418000000000001</c:v>
                </c:pt>
                <c:pt idx="27">
                  <c:v>-0.26268999999999998</c:v>
                </c:pt>
                <c:pt idx="28">
                  <c:v>-0.21299999999999999</c:v>
                </c:pt>
                <c:pt idx="29">
                  <c:v>-0.15087</c:v>
                </c:pt>
                <c:pt idx="30">
                  <c:v>-8.0609E-2</c:v>
                </c:pt>
                <c:pt idx="31">
                  <c:v>9.8210999999999993E-3</c:v>
                </c:pt>
                <c:pt idx="32">
                  <c:v>0.10893</c:v>
                </c:pt>
                <c:pt idx="33">
                  <c:v>0.21145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CD-44C3-A81B-7B34F1437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701023"/>
        <c:axId val="1709714943"/>
      </c:scatterChart>
      <c:valAx>
        <c:axId val="1709701023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9714943"/>
        <c:crosses val="autoZero"/>
        <c:crossBetween val="midCat"/>
      </c:valAx>
      <c:valAx>
        <c:axId val="170971494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9701023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01111111111111"/>
          <c:y val="0.23486038203557888"/>
          <c:w val="0.12555577427821521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123825</xdr:colOff>
      <xdr:row>2</xdr:row>
      <xdr:rowOff>9525</xdr:rowOff>
    </xdr:from>
    <xdr:to>
      <xdr:col>17</xdr:col>
      <xdr:colOff>581025</xdr:colOff>
      <xdr:row>15</xdr:row>
      <xdr:rowOff>28575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B147520-AFA2-3490-98A2-B4BE8C171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2</xdr:row>
      <xdr:rowOff>47625</xdr:rowOff>
    </xdr:from>
    <xdr:to>
      <xdr:col>17</xdr:col>
      <xdr:colOff>228600</xdr:colOff>
      <xdr:row>18</xdr:row>
      <xdr:rowOff>123825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83A4FA8-1CD7-45AE-A924-31ACC0E30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D2972-3AA7-4879-AD2C-B420C5551026}">
  <dimension ref="A1:K124"/>
  <sheetViews>
    <sheetView workbookViewId="0">
      <selection activeCell="F2" sqref="F2"/>
    </sheetView>
  </sheetViews>
  <sheetFormatPr defaultRowHeight="17"/>
  <cols>
    <col min="11" max="11" width="11.33203125" bestFit="1" customWidth="1"/>
  </cols>
  <sheetData>
    <row r="1" spans="1:8">
      <c r="A1" t="s">
        <v>0</v>
      </c>
      <c r="B1" t="s">
        <v>1</v>
      </c>
      <c r="C1" t="s">
        <v>2</v>
      </c>
    </row>
    <row r="2" spans="1:8">
      <c r="A2">
        <v>0.86860700000000002</v>
      </c>
      <c r="B2">
        <v>0</v>
      </c>
      <c r="C2">
        <v>0.19226099999999999</v>
      </c>
      <c r="E2">
        <v>0.86860700000000002</v>
      </c>
      <c r="F2">
        <v>0.73985000000000001</v>
      </c>
      <c r="G2">
        <v>1</v>
      </c>
      <c r="H2">
        <v>0.19226099999999999</v>
      </c>
    </row>
    <row r="3" spans="1:8">
      <c r="A3">
        <v>0.85828099999999996</v>
      </c>
      <c r="B3">
        <v>-1.4052800000000001E-3</v>
      </c>
      <c r="C3">
        <v>0.164878</v>
      </c>
      <c r="E3">
        <v>0.12875700000000001</v>
      </c>
      <c r="G3">
        <v>0.98604311700000002</v>
      </c>
      <c r="H3">
        <v>0.164878</v>
      </c>
    </row>
    <row r="4" spans="1:8">
      <c r="A4">
        <v>0.84769000000000005</v>
      </c>
      <c r="B4">
        <v>-2.8143999999999999E-3</v>
      </c>
      <c r="C4">
        <v>0.14168</v>
      </c>
      <c r="G4">
        <v>0.97172805299999998</v>
      </c>
      <c r="H4">
        <v>0.14168</v>
      </c>
    </row>
    <row r="5" spans="1:8">
      <c r="A5">
        <v>0.83660500000000004</v>
      </c>
      <c r="B5">
        <v>-4.26335E-3</v>
      </c>
      <c r="C5">
        <v>0.11482000000000001</v>
      </c>
      <c r="G5">
        <v>0.95674528599999997</v>
      </c>
      <c r="H5">
        <v>0.11482000000000001</v>
      </c>
    </row>
    <row r="6" spans="1:8">
      <c r="A6">
        <v>0.82483300000000004</v>
      </c>
      <c r="B6">
        <v>-5.7795399999999997E-3</v>
      </c>
      <c r="C6">
        <v>8.8410699999999995E-2</v>
      </c>
      <c r="G6">
        <v>0.94083395299999995</v>
      </c>
      <c r="H6">
        <v>8.8410699999999995E-2</v>
      </c>
    </row>
    <row r="7" spans="1:8">
      <c r="A7">
        <v>0.81221699999999997</v>
      </c>
      <c r="B7">
        <v>-7.3743200000000002E-3</v>
      </c>
      <c r="C7">
        <v>6.1168800000000002E-2</v>
      </c>
      <c r="G7">
        <v>0.92378184799999996</v>
      </c>
      <c r="H7">
        <v>6.1168800000000002E-2</v>
      </c>
    </row>
    <row r="8" spans="1:8">
      <c r="A8">
        <v>0.79863099999999998</v>
      </c>
      <c r="B8">
        <v>-9.0441400000000009E-3</v>
      </c>
      <c r="C8">
        <v>3.4118599999999999E-2</v>
      </c>
      <c r="G8">
        <v>0.90541866599999998</v>
      </c>
      <c r="H8">
        <v>3.4118599999999999E-2</v>
      </c>
    </row>
    <row r="9" spans="1:8">
      <c r="A9">
        <v>0.78398199999999996</v>
      </c>
      <c r="B9">
        <v>-1.07811E-2</v>
      </c>
      <c r="C9">
        <v>7.5195100000000001E-3</v>
      </c>
      <c r="G9">
        <v>0.88561870600000003</v>
      </c>
      <c r="H9">
        <v>7.5195100000000001E-3</v>
      </c>
    </row>
    <row r="10" spans="1:8">
      <c r="A10">
        <v>0.76820699999999997</v>
      </c>
      <c r="B10">
        <v>-1.2574800000000001E-2</v>
      </c>
      <c r="C10">
        <v>-1.77352E-2</v>
      </c>
      <c r="G10">
        <v>0.86429681700000005</v>
      </c>
      <c r="H10">
        <v>-1.77352E-2</v>
      </c>
    </row>
    <row r="11" spans="1:8">
      <c r="A11">
        <v>0.75126899999999996</v>
      </c>
      <c r="B11">
        <v>-1.44149E-2</v>
      </c>
      <c r="C11">
        <v>-4.1544699999999997E-2</v>
      </c>
      <c r="G11">
        <v>0.84140298700000005</v>
      </c>
      <c r="H11">
        <v>-4.1544699999999997E-2</v>
      </c>
    </row>
    <row r="12" spans="1:8">
      <c r="A12">
        <v>0.73316099999999995</v>
      </c>
      <c r="B12">
        <v>-1.6293200000000001E-2</v>
      </c>
      <c r="C12">
        <v>-6.3631699999999999E-2</v>
      </c>
      <c r="G12">
        <v>0.816927756</v>
      </c>
      <c r="H12">
        <v>-6.3631699999999999E-2</v>
      </c>
    </row>
    <row r="13" spans="1:8">
      <c r="A13">
        <v>0.71389899999999995</v>
      </c>
      <c r="B13">
        <v>-1.8203199999999999E-2</v>
      </c>
      <c r="C13">
        <v>-8.4564799999999996E-2</v>
      </c>
      <c r="G13">
        <v>0.79089274899999995</v>
      </c>
      <c r="H13">
        <v>-8.4564799999999996E-2</v>
      </c>
    </row>
    <row r="14" spans="1:8">
      <c r="A14">
        <v>0.69352100000000005</v>
      </c>
      <c r="B14">
        <v>-2.0140600000000002E-2</v>
      </c>
      <c r="C14">
        <v>-0.104865</v>
      </c>
      <c r="G14">
        <v>0.76334932799999999</v>
      </c>
      <c r="H14">
        <v>-0.104865</v>
      </c>
    </row>
    <row r="15" spans="1:8">
      <c r="A15">
        <v>0.67208599999999996</v>
      </c>
      <c r="B15">
        <v>-2.2098900000000001E-2</v>
      </c>
      <c r="C15">
        <v>-0.12548300000000001</v>
      </c>
      <c r="G15">
        <v>0.73437723899999996</v>
      </c>
      <c r="H15">
        <v>-0.12548300000000001</v>
      </c>
    </row>
    <row r="16" spans="1:8">
      <c r="A16">
        <v>0.64967200000000003</v>
      </c>
      <c r="B16">
        <v>-2.40667E-2</v>
      </c>
      <c r="C16">
        <v>-0.14702799999999999</v>
      </c>
      <c r="G16">
        <v>0.70408190800000003</v>
      </c>
      <c r="H16">
        <v>-0.14702799999999999</v>
      </c>
    </row>
    <row r="17" spans="1:8">
      <c r="A17">
        <v>0.62636899999999995</v>
      </c>
      <c r="B17">
        <v>-2.6023299999999999E-2</v>
      </c>
      <c r="C17">
        <v>-0.169991</v>
      </c>
      <c r="G17">
        <v>0.67258498300000003</v>
      </c>
      <c r="H17">
        <v>-0.169991</v>
      </c>
    </row>
    <row r="18" spans="1:8">
      <c r="A18">
        <v>0.60228599999999999</v>
      </c>
      <c r="B18">
        <v>-2.7936699999999998E-2</v>
      </c>
      <c r="C18">
        <v>-0.19406399999999999</v>
      </c>
      <c r="G18">
        <v>0.64003379100000002</v>
      </c>
      <c r="H18">
        <v>-0.19406399999999999</v>
      </c>
    </row>
    <row r="19" spans="1:8">
      <c r="A19">
        <v>0.57753900000000002</v>
      </c>
      <c r="B19">
        <v>-2.9763299999999999E-2</v>
      </c>
      <c r="C19">
        <v>-0.21810299999999999</v>
      </c>
      <c r="G19">
        <v>0.60658511900000001</v>
      </c>
      <c r="H19">
        <v>-0.21810299999999999</v>
      </c>
    </row>
    <row r="20" spans="1:8">
      <c r="A20">
        <v>0.55225900000000006</v>
      </c>
      <c r="B20">
        <v>-3.1451E-2</v>
      </c>
      <c r="C20">
        <v>-0.239893</v>
      </c>
      <c r="G20">
        <v>0.57241602999999996</v>
      </c>
      <c r="H20">
        <v>-0.239893</v>
      </c>
    </row>
    <row r="21" spans="1:8">
      <c r="A21">
        <v>0.52658400000000005</v>
      </c>
      <c r="B21">
        <v>-3.2944500000000002E-2</v>
      </c>
      <c r="C21">
        <v>-0.25665300000000002</v>
      </c>
      <c r="G21">
        <v>0.53771305000000003</v>
      </c>
      <c r="H21">
        <v>-0.25665300000000002</v>
      </c>
    </row>
    <row r="22" spans="1:8">
      <c r="A22">
        <v>0.50065999999999999</v>
      </c>
      <c r="B22">
        <v>-3.4192300000000002E-2</v>
      </c>
      <c r="C22">
        <v>-0.26574599999999998</v>
      </c>
      <c r="G22">
        <v>0.50267351500000002</v>
      </c>
      <c r="H22">
        <v>-0.26574599999999998</v>
      </c>
    </row>
    <row r="23" spans="1:8">
      <c r="A23">
        <v>0.47463899999999998</v>
      </c>
      <c r="B23">
        <v>-3.5154400000000002E-2</v>
      </c>
      <c r="C23">
        <v>-0.26576499999999997</v>
      </c>
      <c r="G23">
        <v>0.46750287200000001</v>
      </c>
      <c r="H23">
        <v>-0.26576499999999997</v>
      </c>
    </row>
    <row r="24" spans="1:8">
      <c r="A24">
        <v>0.448681</v>
      </c>
      <c r="B24">
        <v>-3.5806699999999997E-2</v>
      </c>
      <c r="C24">
        <v>-0.25688800000000001</v>
      </c>
      <c r="G24">
        <v>0.43241738200000002</v>
      </c>
      <c r="H24">
        <v>-0.25688800000000001</v>
      </c>
    </row>
    <row r="25" spans="1:8">
      <c r="A25">
        <v>0.42294300000000001</v>
      </c>
      <c r="B25">
        <v>-3.6144299999999997E-2</v>
      </c>
      <c r="C25">
        <v>-0.24071899999999999</v>
      </c>
      <c r="G25">
        <v>0.39762924900000002</v>
      </c>
      <c r="H25">
        <v>-0.24071899999999999</v>
      </c>
    </row>
    <row r="26" spans="1:8">
      <c r="A26">
        <v>0.39758500000000002</v>
      </c>
      <c r="B26">
        <v>-3.61801E-2</v>
      </c>
      <c r="C26">
        <v>-0.21956500000000001</v>
      </c>
      <c r="G26">
        <v>0.36335473400000001</v>
      </c>
      <c r="H26">
        <v>-0.21956500000000001</v>
      </c>
    </row>
    <row r="27" spans="1:8">
      <c r="A27">
        <v>0.37276199999999998</v>
      </c>
      <c r="B27">
        <v>-3.5940300000000001E-2</v>
      </c>
      <c r="C27">
        <v>-0.19581699999999999</v>
      </c>
      <c r="G27">
        <v>0.32980333899999997</v>
      </c>
      <c r="H27">
        <v>-0.19581699999999999</v>
      </c>
    </row>
    <row r="28" spans="1:8">
      <c r="A28">
        <v>0.34862300000000002</v>
      </c>
      <c r="B28">
        <v>-3.5458299999999998E-2</v>
      </c>
      <c r="C28">
        <v>-0.171515</v>
      </c>
      <c r="G28">
        <v>0.29717645500000001</v>
      </c>
      <c r="H28">
        <v>-0.171515</v>
      </c>
    </row>
    <row r="29" spans="1:8">
      <c r="A29">
        <v>0.32531100000000002</v>
      </c>
      <c r="B29">
        <v>-3.4768800000000002E-2</v>
      </c>
      <c r="C29">
        <v>-0.14810499999999999</v>
      </c>
      <c r="G29">
        <v>0.26566736499999999</v>
      </c>
      <c r="H29">
        <v>-0.14810499999999999</v>
      </c>
    </row>
    <row r="30" spans="1:8">
      <c r="A30">
        <v>0.30295800000000001</v>
      </c>
      <c r="B30">
        <v>-3.3901599999999997E-2</v>
      </c>
      <c r="C30">
        <v>-0.12628700000000001</v>
      </c>
      <c r="G30">
        <v>0.23545448399999999</v>
      </c>
      <c r="H30">
        <v>-0.12628700000000001</v>
      </c>
    </row>
    <row r="31" spans="1:8">
      <c r="A31">
        <v>0.28168799999999999</v>
      </c>
      <c r="B31">
        <v>3.2879699999999998E-2</v>
      </c>
      <c r="C31">
        <v>-0.474854</v>
      </c>
      <c r="G31">
        <v>0.206705413</v>
      </c>
      <c r="H31">
        <v>-0.106115</v>
      </c>
    </row>
    <row r="32" spans="1:8">
      <c r="A32">
        <v>0.26161000000000001</v>
      </c>
      <c r="B32">
        <v>3.1718999999999997E-2</v>
      </c>
      <c r="C32">
        <v>-0.47360600000000003</v>
      </c>
      <c r="G32">
        <v>0.17956748</v>
      </c>
      <c r="H32">
        <v>-8.7084999999999996E-2</v>
      </c>
    </row>
    <row r="33" spans="1:11">
      <c r="A33">
        <v>0.24281900000000001</v>
      </c>
      <c r="B33">
        <v>3.0431E-2</v>
      </c>
      <c r="C33">
        <v>-0.47416000000000003</v>
      </c>
      <c r="G33">
        <v>0.15416908800000001</v>
      </c>
      <c r="H33">
        <v>-6.8388199999999996E-2</v>
      </c>
    </row>
    <row r="34" spans="1:11">
      <c r="A34">
        <v>0.22539600000000001</v>
      </c>
      <c r="B34">
        <v>2.90266E-2</v>
      </c>
      <c r="C34">
        <v>-0.47367399999999998</v>
      </c>
      <c r="G34">
        <v>0.13061971999999999</v>
      </c>
      <c r="H34">
        <v>-4.9165300000000002E-2</v>
      </c>
    </row>
    <row r="35" spans="1:11">
      <c r="A35">
        <v>0.209401</v>
      </c>
      <c r="B35">
        <v>2.75211E-2</v>
      </c>
      <c r="C35">
        <v>-0.47256599999999999</v>
      </c>
      <c r="G35">
        <v>0.109000473</v>
      </c>
      <c r="H35">
        <v>-2.89746E-2</v>
      </c>
      <c r="J35">
        <v>0.109000473</v>
      </c>
      <c r="K35">
        <v>-2.89746E-2</v>
      </c>
    </row>
    <row r="36" spans="1:11">
      <c r="A36">
        <v>0.19487599999999999</v>
      </c>
      <c r="B36">
        <v>-2.5936799999999999E-2</v>
      </c>
      <c r="C36">
        <v>-7.9790899999999994E-3</v>
      </c>
      <c r="G36">
        <v>8.9368114999999998E-2</v>
      </c>
      <c r="H36">
        <v>-7.9790899999999994E-3</v>
      </c>
      <c r="J36">
        <v>0.13061971999999999</v>
      </c>
      <c r="K36">
        <v>-4.9165300000000002E-2</v>
      </c>
    </row>
    <row r="37" spans="1:11">
      <c r="A37">
        <v>0.181836</v>
      </c>
      <c r="B37">
        <v>-2.4304699999999999E-2</v>
      </c>
      <c r="C37">
        <v>1.3247500000000001E-2</v>
      </c>
      <c r="G37">
        <v>7.1742921000000001E-2</v>
      </c>
      <c r="H37">
        <v>1.3247500000000001E-2</v>
      </c>
      <c r="J37">
        <v>0.15416908800000001</v>
      </c>
      <c r="K37">
        <v>-6.8388199999999996E-2</v>
      </c>
    </row>
    <row r="38" spans="1:11">
      <c r="A38">
        <v>0.17027500000000001</v>
      </c>
      <c r="B38">
        <v>-2.2661500000000001E-2</v>
      </c>
      <c r="C38">
        <v>2.2407E-2</v>
      </c>
      <c r="G38">
        <v>5.6116779999999998E-2</v>
      </c>
      <c r="H38">
        <v>2.2407E-2</v>
      </c>
      <c r="J38">
        <v>0.17956748</v>
      </c>
      <c r="K38">
        <v>-8.7084999999999996E-2</v>
      </c>
    </row>
    <row r="39" spans="1:11">
      <c r="A39">
        <v>0.16015699999999999</v>
      </c>
      <c r="B39">
        <v>-2.1043699999999999E-2</v>
      </c>
      <c r="C39">
        <v>-2.0562000000000002E-3</v>
      </c>
      <c r="G39">
        <v>4.2441035000000002E-2</v>
      </c>
      <c r="H39">
        <v>-2.0562000000000002E-3</v>
      </c>
      <c r="J39">
        <v>0.206705413</v>
      </c>
      <c r="K39">
        <v>-0.106115</v>
      </c>
    </row>
    <row r="40" spans="1:11">
      <c r="A40">
        <v>0.15145700000000001</v>
      </c>
      <c r="B40">
        <v>-1.9287200000000001E-2</v>
      </c>
      <c r="C40">
        <v>-1.7212600000000002E-2</v>
      </c>
      <c r="G40">
        <v>3.0681895000000001E-2</v>
      </c>
      <c r="H40">
        <v>-1.7212600000000002E-2</v>
      </c>
    </row>
    <row r="41" spans="1:11">
      <c r="A41">
        <v>0.144202</v>
      </c>
      <c r="B41">
        <v>-1.70411E-2</v>
      </c>
      <c r="C41">
        <v>6.9034999999999999E-2</v>
      </c>
      <c r="G41">
        <v>2.0875853E-2</v>
      </c>
      <c r="H41">
        <v>6.9034999999999999E-2</v>
      </c>
    </row>
    <row r="42" spans="1:11">
      <c r="A42">
        <v>0.13843900000000001</v>
      </c>
      <c r="B42">
        <v>-1.41759E-2</v>
      </c>
      <c r="C42">
        <v>0.27155600000000002</v>
      </c>
      <c r="G42">
        <v>1.3086436E-2</v>
      </c>
      <c r="H42">
        <v>0.27155600000000002</v>
      </c>
    </row>
    <row r="43" spans="1:11">
      <c r="A43">
        <v>0.134133</v>
      </c>
      <c r="B43">
        <v>-1.08588E-2</v>
      </c>
      <c r="C43">
        <v>0.52183999999999997</v>
      </c>
      <c r="G43">
        <v>7.2663379999999998E-3</v>
      </c>
      <c r="H43">
        <v>0.52183999999999997</v>
      </c>
    </row>
    <row r="44" spans="1:11">
      <c r="A44">
        <v>0.13114600000000001</v>
      </c>
      <c r="B44">
        <v>-7.3227300000000004E-3</v>
      </c>
      <c r="C44">
        <v>0.74024699999999999</v>
      </c>
      <c r="G44">
        <v>3.2290330000000001E-3</v>
      </c>
      <c r="H44">
        <v>0.74024699999999999</v>
      </c>
    </row>
    <row r="45" spans="1:11">
      <c r="A45">
        <v>0.129361</v>
      </c>
      <c r="B45">
        <v>-3.68849E-3</v>
      </c>
      <c r="C45">
        <v>0.86160099999999995</v>
      </c>
      <c r="G45">
        <v>8.1638200000000005E-4</v>
      </c>
      <c r="H45">
        <v>0.86160099999999995</v>
      </c>
    </row>
    <row r="46" spans="1:11">
      <c r="A46">
        <v>0.12875700000000001</v>
      </c>
      <c r="B46">
        <v>0</v>
      </c>
      <c r="C46">
        <v>0.82196100000000005</v>
      </c>
      <c r="G46">
        <v>0</v>
      </c>
      <c r="H46">
        <v>0.82196100000000005</v>
      </c>
    </row>
    <row r="47" spans="1:11">
      <c r="A47">
        <v>0.129361</v>
      </c>
      <c r="B47">
        <v>3.68849E-3</v>
      </c>
      <c r="C47">
        <v>0.60228000000000004</v>
      </c>
      <c r="G47">
        <v>8.1638200000000005E-4</v>
      </c>
      <c r="H47">
        <v>0.60228000000000004</v>
      </c>
    </row>
    <row r="48" spans="1:11">
      <c r="A48">
        <v>0.13114600000000001</v>
      </c>
      <c r="B48">
        <v>7.3227300000000004E-3</v>
      </c>
      <c r="C48">
        <v>0.27462399999999998</v>
      </c>
      <c r="G48">
        <v>3.2290330000000001E-3</v>
      </c>
      <c r="H48">
        <v>0.27462399999999998</v>
      </c>
    </row>
    <row r="49" spans="1:11">
      <c r="A49">
        <v>0.134133</v>
      </c>
      <c r="B49">
        <v>1.08588E-2</v>
      </c>
      <c r="C49">
        <v>-8.8171299999999994E-2</v>
      </c>
      <c r="G49">
        <v>7.2663379999999998E-3</v>
      </c>
      <c r="H49">
        <v>-8.8171299999999994E-2</v>
      </c>
    </row>
    <row r="50" spans="1:11">
      <c r="A50">
        <v>0.13843900000000001</v>
      </c>
      <c r="B50">
        <v>1.41759E-2</v>
      </c>
      <c r="C50">
        <v>-0.44520999999999999</v>
      </c>
      <c r="G50">
        <v>1.3086436E-2</v>
      </c>
      <c r="H50">
        <v>-0.44520999999999999</v>
      </c>
    </row>
    <row r="51" spans="1:11">
      <c r="A51">
        <v>0.144202</v>
      </c>
      <c r="B51">
        <v>1.70411E-2</v>
      </c>
      <c r="C51">
        <v>-0.72955999999999999</v>
      </c>
      <c r="G51">
        <v>2.0875853E-2</v>
      </c>
      <c r="H51">
        <v>-0.72955999999999999</v>
      </c>
    </row>
    <row r="52" spans="1:11">
      <c r="A52">
        <v>0.15145700000000001</v>
      </c>
      <c r="B52">
        <v>1.9287200000000001E-2</v>
      </c>
      <c r="C52">
        <v>-0.869224</v>
      </c>
      <c r="G52">
        <v>3.0681895000000001E-2</v>
      </c>
      <c r="H52">
        <v>-0.869224</v>
      </c>
    </row>
    <row r="53" spans="1:11">
      <c r="A53">
        <v>0.16015699999999999</v>
      </c>
      <c r="B53">
        <v>2.1043699999999999E-2</v>
      </c>
      <c r="C53">
        <v>-0.83355199999999996</v>
      </c>
      <c r="G53">
        <v>4.2441035000000002E-2</v>
      </c>
      <c r="H53">
        <v>-0.83355199999999996</v>
      </c>
    </row>
    <row r="54" spans="1:11">
      <c r="A54">
        <v>0.17027500000000001</v>
      </c>
      <c r="B54">
        <v>2.2661500000000001E-2</v>
      </c>
      <c r="C54">
        <v>-0.67734899999999998</v>
      </c>
      <c r="G54">
        <v>5.6116779999999998E-2</v>
      </c>
      <c r="H54">
        <v>-0.67734899999999998</v>
      </c>
    </row>
    <row r="55" spans="1:11">
      <c r="A55">
        <v>0.181836</v>
      </c>
      <c r="B55">
        <v>2.4304699999999999E-2</v>
      </c>
      <c r="C55">
        <v>-0.53877399999999998</v>
      </c>
      <c r="G55">
        <v>7.1742921000000001E-2</v>
      </c>
      <c r="H55">
        <v>-0.53877399999999998</v>
      </c>
    </row>
    <row r="56" spans="1:11">
      <c r="A56">
        <v>0.19487599999999999</v>
      </c>
      <c r="B56">
        <v>2.5936799999999999E-2</v>
      </c>
      <c r="C56">
        <v>-0.48270000000000002</v>
      </c>
      <c r="G56">
        <v>8.9368114999999998E-2</v>
      </c>
      <c r="H56">
        <v>-0.48270000000000002</v>
      </c>
    </row>
    <row r="57" spans="1:11">
      <c r="A57">
        <v>0.209401</v>
      </c>
      <c r="B57">
        <v>-2.75211E-2</v>
      </c>
      <c r="C57">
        <v>-2.89746E-2</v>
      </c>
      <c r="G57">
        <v>0.109000473</v>
      </c>
      <c r="H57">
        <v>-0.47256599999999999</v>
      </c>
      <c r="J57">
        <v>0.206705413</v>
      </c>
      <c r="K57">
        <v>-0.474854</v>
      </c>
    </row>
    <row r="58" spans="1:11">
      <c r="A58">
        <v>0.22539600000000001</v>
      </c>
      <c r="B58">
        <v>-2.90266E-2</v>
      </c>
      <c r="C58">
        <v>-4.9165300000000002E-2</v>
      </c>
      <c r="G58">
        <v>0.13061971999999999</v>
      </c>
      <c r="H58">
        <v>-0.47367399999999998</v>
      </c>
      <c r="J58">
        <v>0.17956748</v>
      </c>
      <c r="K58">
        <v>-0.47360600000000003</v>
      </c>
    </row>
    <row r="59" spans="1:11">
      <c r="A59">
        <v>0.24281900000000001</v>
      </c>
      <c r="B59">
        <v>-3.0431E-2</v>
      </c>
      <c r="C59">
        <v>-6.8388199999999996E-2</v>
      </c>
      <c r="G59">
        <v>0.15416908800000001</v>
      </c>
      <c r="H59">
        <v>-0.47416000000000003</v>
      </c>
      <c r="J59">
        <v>0.15416908800000001</v>
      </c>
      <c r="K59">
        <v>-0.47416000000000003</v>
      </c>
    </row>
    <row r="60" spans="1:11">
      <c r="A60">
        <v>0.26161000000000001</v>
      </c>
      <c r="B60">
        <v>-3.1718999999999997E-2</v>
      </c>
      <c r="C60">
        <v>-8.7084999999999996E-2</v>
      </c>
      <c r="G60">
        <v>0.17956748</v>
      </c>
      <c r="H60">
        <v>-0.47360600000000003</v>
      </c>
      <c r="J60">
        <v>0.13061971999999999</v>
      </c>
      <c r="K60">
        <v>-0.47367399999999998</v>
      </c>
    </row>
    <row r="61" spans="1:11">
      <c r="A61">
        <v>0.28168799999999999</v>
      </c>
      <c r="B61">
        <v>-3.2879699999999998E-2</v>
      </c>
      <c r="C61">
        <v>-0.106115</v>
      </c>
      <c r="G61">
        <v>0.206705413</v>
      </c>
      <c r="H61">
        <v>-0.474854</v>
      </c>
      <c r="J61">
        <v>0.109000473</v>
      </c>
      <c r="K61">
        <v>-0.47256599999999999</v>
      </c>
    </row>
    <row r="62" spans="1:11">
      <c r="A62">
        <v>0.30295800000000001</v>
      </c>
      <c r="B62">
        <v>3.3901599999999997E-2</v>
      </c>
      <c r="C62">
        <v>-0.48022999999999999</v>
      </c>
      <c r="G62">
        <v>0.23545448399999999</v>
      </c>
      <c r="H62">
        <v>-0.48022999999999999</v>
      </c>
    </row>
    <row r="63" spans="1:11">
      <c r="A63">
        <v>0.32531100000000002</v>
      </c>
      <c r="B63">
        <v>3.4768800000000002E-2</v>
      </c>
      <c r="C63">
        <v>-0.49087500000000001</v>
      </c>
      <c r="G63">
        <v>0.26566736499999999</v>
      </c>
      <c r="H63">
        <v>-0.49087500000000001</v>
      </c>
    </row>
    <row r="64" spans="1:11">
      <c r="A64">
        <v>0.34862300000000002</v>
      </c>
      <c r="B64">
        <v>3.5458299999999998E-2</v>
      </c>
      <c r="C64">
        <v>-0.50680099999999995</v>
      </c>
      <c r="G64">
        <v>0.29717645500000001</v>
      </c>
      <c r="H64">
        <v>-0.50680099999999995</v>
      </c>
    </row>
    <row r="65" spans="1:8">
      <c r="A65">
        <v>0.37276199999999998</v>
      </c>
      <c r="B65">
        <v>3.5940300000000001E-2</v>
      </c>
      <c r="C65">
        <v>-0.52741300000000002</v>
      </c>
      <c r="G65">
        <v>0.32980333899999997</v>
      </c>
      <c r="H65">
        <v>-0.52741300000000002</v>
      </c>
    </row>
    <row r="66" spans="1:8">
      <c r="A66">
        <v>0.39758500000000002</v>
      </c>
      <c r="B66">
        <v>3.61801E-2</v>
      </c>
      <c r="C66">
        <v>-0.55191400000000002</v>
      </c>
      <c r="G66">
        <v>0.36335473400000001</v>
      </c>
      <c r="H66">
        <v>-0.55191400000000002</v>
      </c>
    </row>
    <row r="67" spans="1:8">
      <c r="A67">
        <v>0.42294300000000001</v>
      </c>
      <c r="B67">
        <v>3.6144299999999997E-2</v>
      </c>
      <c r="C67">
        <v>-0.57950699999999999</v>
      </c>
      <c r="G67">
        <v>0.39762924900000002</v>
      </c>
      <c r="H67">
        <v>-0.57950699999999999</v>
      </c>
    </row>
    <row r="68" spans="1:8">
      <c r="A68">
        <v>0.448681</v>
      </c>
      <c r="B68">
        <v>3.5806699999999997E-2</v>
      </c>
      <c r="C68">
        <v>-0.61018899999999998</v>
      </c>
      <c r="G68">
        <v>0.43241738200000002</v>
      </c>
      <c r="H68">
        <v>-0.61018899999999998</v>
      </c>
    </row>
    <row r="69" spans="1:8">
      <c r="A69">
        <v>0.47463899999999998</v>
      </c>
      <c r="B69">
        <v>3.5154400000000002E-2</v>
      </c>
      <c r="C69">
        <v>-0.64146899999999996</v>
      </c>
      <c r="G69">
        <v>0.46750287200000001</v>
      </c>
      <c r="H69">
        <v>-0.64146899999999996</v>
      </c>
    </row>
    <row r="70" spans="1:8">
      <c r="A70">
        <v>0.50065999999999999</v>
      </c>
      <c r="B70">
        <v>3.4192300000000002E-2</v>
      </c>
      <c r="C70">
        <v>-0.66171100000000005</v>
      </c>
      <c r="G70">
        <v>0.50267351500000002</v>
      </c>
      <c r="H70">
        <v>-0.66171100000000005</v>
      </c>
    </row>
    <row r="71" spans="1:8">
      <c r="A71">
        <v>0.52658400000000005</v>
      </c>
      <c r="B71">
        <v>3.2944500000000002E-2</v>
      </c>
      <c r="C71">
        <v>-0.64596399999999998</v>
      </c>
      <c r="G71">
        <v>0.53771305000000003</v>
      </c>
      <c r="H71">
        <v>-0.64596399999999998</v>
      </c>
    </row>
    <row r="72" spans="1:8">
      <c r="A72">
        <v>0.55225900000000006</v>
      </c>
      <c r="B72">
        <v>3.1451E-2</v>
      </c>
      <c r="C72">
        <v>-0.56965699999999997</v>
      </c>
      <c r="G72">
        <v>0.57241602999999996</v>
      </c>
      <c r="H72">
        <v>-0.56965699999999997</v>
      </c>
    </row>
    <row r="73" spans="1:8">
      <c r="A73">
        <v>0.57753900000000002</v>
      </c>
      <c r="B73">
        <v>2.9763299999999999E-2</v>
      </c>
      <c r="C73">
        <v>-0.44282899999999997</v>
      </c>
      <c r="G73">
        <v>0.60658511900000001</v>
      </c>
      <c r="H73">
        <v>-0.44282899999999997</v>
      </c>
    </row>
    <row r="74" spans="1:8">
      <c r="A74">
        <v>0.60228599999999999</v>
      </c>
      <c r="B74">
        <v>2.7936699999999998E-2</v>
      </c>
      <c r="C74">
        <v>-0.31981199999999999</v>
      </c>
      <c r="G74">
        <v>0.64003379100000002</v>
      </c>
      <c r="H74">
        <v>-0.31981199999999999</v>
      </c>
    </row>
    <row r="75" spans="1:8">
      <c r="A75">
        <v>0.62636899999999995</v>
      </c>
      <c r="B75">
        <v>2.6023299999999999E-2</v>
      </c>
      <c r="C75">
        <v>-0.23433200000000001</v>
      </c>
      <c r="G75">
        <v>0.67258498300000003</v>
      </c>
      <c r="H75">
        <v>-0.23433200000000001</v>
      </c>
    </row>
    <row r="76" spans="1:8">
      <c r="A76">
        <v>0.64967200000000003</v>
      </c>
      <c r="B76">
        <v>2.40667E-2</v>
      </c>
      <c r="C76">
        <v>-0.180588</v>
      </c>
      <c r="G76">
        <v>0.70408190800000003</v>
      </c>
      <c r="H76">
        <v>-0.180588</v>
      </c>
    </row>
    <row r="77" spans="1:8">
      <c r="A77">
        <v>0.67208599999999996</v>
      </c>
      <c r="B77">
        <v>2.2098900000000001E-2</v>
      </c>
      <c r="C77">
        <v>-0.14440500000000001</v>
      </c>
      <c r="G77">
        <v>0.73437723899999996</v>
      </c>
      <c r="H77">
        <v>-0.14440500000000001</v>
      </c>
    </row>
    <row r="78" spans="1:8">
      <c r="A78">
        <v>0.69352100000000005</v>
      </c>
      <c r="B78">
        <v>2.0140600000000002E-2</v>
      </c>
      <c r="C78">
        <v>-0.113944</v>
      </c>
      <c r="G78">
        <v>0.76334932799999999</v>
      </c>
      <c r="H78">
        <v>-0.113944</v>
      </c>
    </row>
    <row r="79" spans="1:8">
      <c r="A79">
        <v>0.71389899999999995</v>
      </c>
      <c r="B79">
        <v>1.8203199999999999E-2</v>
      </c>
      <c r="C79">
        <v>-8.3802299999999996E-2</v>
      </c>
      <c r="G79">
        <v>0.79089274899999995</v>
      </c>
      <c r="H79">
        <v>-8.3802299999999996E-2</v>
      </c>
    </row>
    <row r="80" spans="1:8">
      <c r="A80">
        <v>0.73316099999999995</v>
      </c>
      <c r="B80">
        <v>1.6293200000000001E-2</v>
      </c>
      <c r="C80">
        <v>-5.4105100000000003E-2</v>
      </c>
      <c r="G80">
        <v>0.816927756</v>
      </c>
      <c r="H80">
        <v>-5.4105100000000003E-2</v>
      </c>
    </row>
    <row r="81" spans="1:11">
      <c r="A81">
        <v>0.75126899999999996</v>
      </c>
      <c r="B81">
        <v>1.44149E-2</v>
      </c>
      <c r="C81">
        <v>-2.5282800000000001E-2</v>
      </c>
      <c r="G81">
        <v>0.84140298700000005</v>
      </c>
      <c r="H81">
        <v>-2.5282800000000001E-2</v>
      </c>
    </row>
    <row r="82" spans="1:11">
      <c r="A82">
        <v>0.76820699999999997</v>
      </c>
      <c r="B82">
        <v>1.2574800000000001E-2</v>
      </c>
      <c r="C82">
        <v>3.04557E-3</v>
      </c>
      <c r="G82">
        <v>0.86429681700000005</v>
      </c>
      <c r="H82">
        <v>3.04557E-3</v>
      </c>
    </row>
    <row r="83" spans="1:11">
      <c r="A83">
        <v>0.78398199999999996</v>
      </c>
      <c r="B83">
        <v>1.07811E-2</v>
      </c>
      <c r="C83">
        <v>3.0764199999999998E-2</v>
      </c>
      <c r="G83">
        <v>0.88561870600000003</v>
      </c>
      <c r="H83">
        <v>3.0764199999999998E-2</v>
      </c>
    </row>
    <row r="84" spans="1:11">
      <c r="A84">
        <v>0.79863099999999998</v>
      </c>
      <c r="B84">
        <v>9.0441400000000009E-3</v>
      </c>
      <c r="C84">
        <v>5.7656899999999997E-2</v>
      </c>
      <c r="G84">
        <v>0.90541866599999998</v>
      </c>
      <c r="H84">
        <v>5.7656899999999997E-2</v>
      </c>
    </row>
    <row r="85" spans="1:11">
      <c r="A85">
        <v>0.81221699999999997</v>
      </c>
      <c r="B85">
        <v>7.3743200000000002E-3</v>
      </c>
      <c r="C85">
        <v>8.2950899999999994E-2</v>
      </c>
      <c r="G85">
        <v>0.92378184799999996</v>
      </c>
      <c r="H85">
        <v>8.2950899999999994E-2</v>
      </c>
    </row>
    <row r="86" spans="1:11">
      <c r="A86">
        <v>0.82483300000000004</v>
      </c>
      <c r="B86">
        <v>5.7795399999999997E-3</v>
      </c>
      <c r="C86">
        <v>0.106846</v>
      </c>
      <c r="G86">
        <v>0.94083395299999995</v>
      </c>
      <c r="H86">
        <v>0.106846</v>
      </c>
    </row>
    <row r="87" spans="1:11">
      <c r="A87">
        <v>0.83660500000000004</v>
      </c>
      <c r="B87">
        <v>4.26335E-3</v>
      </c>
      <c r="C87">
        <v>0.12812100000000001</v>
      </c>
      <c r="G87">
        <v>0.95674528599999997</v>
      </c>
      <c r="H87">
        <v>0.12812100000000001</v>
      </c>
    </row>
    <row r="88" spans="1:11">
      <c r="A88">
        <v>0.84769000000000005</v>
      </c>
      <c r="B88">
        <v>2.8143999999999999E-3</v>
      </c>
      <c r="C88">
        <v>0.148782</v>
      </c>
      <c r="G88">
        <v>0.97172805299999998</v>
      </c>
      <c r="H88">
        <v>0.148782</v>
      </c>
    </row>
    <row r="89" spans="1:11">
      <c r="A89">
        <v>0.85828099999999996</v>
      </c>
      <c r="B89">
        <v>1.4052800000000001E-3</v>
      </c>
      <c r="C89">
        <v>0.163992</v>
      </c>
      <c r="G89">
        <v>0.98604311700000002</v>
      </c>
      <c r="H89">
        <v>0.163992</v>
      </c>
    </row>
    <row r="91" spans="1:11">
      <c r="G91" s="1">
        <v>1</v>
      </c>
      <c r="H91" s="1">
        <v>12</v>
      </c>
      <c r="I91" s="1">
        <v>0.95</v>
      </c>
      <c r="J91" s="1">
        <v>-7.26E-3</v>
      </c>
      <c r="K91" s="1">
        <v>0.10100000000000001</v>
      </c>
    </row>
    <row r="92" spans="1:11">
      <c r="G92" s="1">
        <v>1</v>
      </c>
      <c r="H92" s="1">
        <v>11</v>
      </c>
      <c r="I92" s="1">
        <v>0.81599999999999995</v>
      </c>
      <c r="J92" s="1">
        <v>-2.1899999999999999E-2</v>
      </c>
      <c r="K92" s="1">
        <v>-7.85E-2</v>
      </c>
    </row>
    <row r="93" spans="1:11">
      <c r="G93" s="1">
        <v>1</v>
      </c>
      <c r="H93" s="1">
        <v>10</v>
      </c>
      <c r="I93" s="1">
        <v>0.66600000000000004</v>
      </c>
      <c r="J93" s="1">
        <v>-3.5900000000000001E-2</v>
      </c>
      <c r="K93" s="1">
        <v>-0.17100000000000001</v>
      </c>
    </row>
    <row r="94" spans="1:11">
      <c r="G94" s="1">
        <v>1</v>
      </c>
      <c r="H94" s="1">
        <v>9</v>
      </c>
      <c r="I94" s="1">
        <v>0.56599999999999995</v>
      </c>
      <c r="J94" s="1">
        <v>-4.2999999999999997E-2</v>
      </c>
      <c r="K94" s="1">
        <v>-0.22900000000000001</v>
      </c>
    </row>
    <row r="95" spans="1:11">
      <c r="G95" s="1">
        <v>1</v>
      </c>
      <c r="H95" s="1">
        <v>8</v>
      </c>
      <c r="I95" s="1">
        <v>0.46600000000000003</v>
      </c>
      <c r="J95" s="1">
        <v>-4.7699999999999999E-2</v>
      </c>
      <c r="K95" s="1">
        <v>-0.26300000000000001</v>
      </c>
    </row>
    <row r="96" spans="1:11">
      <c r="G96" s="1">
        <v>1</v>
      </c>
      <c r="H96" s="1">
        <v>7</v>
      </c>
      <c r="I96" s="1">
        <v>0.36599999999999999</v>
      </c>
      <c r="J96" s="1">
        <v>-4.8899999999999999E-2</v>
      </c>
      <c r="K96" s="1">
        <v>-0.215</v>
      </c>
    </row>
    <row r="97" spans="7:11">
      <c r="G97" s="1">
        <v>1</v>
      </c>
      <c r="H97" s="1">
        <v>6</v>
      </c>
      <c r="I97" s="1">
        <v>0.26600000000000001</v>
      </c>
      <c r="J97" s="1">
        <v>-4.7E-2</v>
      </c>
      <c r="K97" s="1">
        <v>-0.16400000000000001</v>
      </c>
    </row>
    <row r="98" spans="7:11">
      <c r="G98" s="1">
        <v>1</v>
      </c>
      <c r="H98" s="1">
        <v>5</v>
      </c>
      <c r="I98" s="1">
        <v>0.16600000000000001</v>
      </c>
      <c r="J98" s="1">
        <v>-4.19E-2</v>
      </c>
      <c r="K98" s="1">
        <v>-9.2299999999999993E-2</v>
      </c>
    </row>
    <row r="99" spans="7:11">
      <c r="G99" s="1">
        <v>1</v>
      </c>
      <c r="H99" s="1">
        <v>4</v>
      </c>
      <c r="I99" s="1">
        <v>4.99E-2</v>
      </c>
      <c r="J99" s="1">
        <v>-2.9700000000000001E-2</v>
      </c>
      <c r="K99" s="1">
        <v>-4.6399999999999997E-2</v>
      </c>
    </row>
    <row r="100" spans="7:11">
      <c r="G100" s="1">
        <v>1</v>
      </c>
      <c r="H100" s="1">
        <v>3</v>
      </c>
      <c r="I100" s="1">
        <v>0.02</v>
      </c>
      <c r="J100" s="1">
        <v>-2.2700000000000001E-2</v>
      </c>
      <c r="K100" s="1">
        <v>-3.4299999999999997E-2</v>
      </c>
    </row>
    <row r="101" spans="7:11">
      <c r="G101" s="1">
        <v>1</v>
      </c>
      <c r="H101" s="1">
        <v>2</v>
      </c>
      <c r="I101" s="1">
        <v>5.9300000000000004E-3</v>
      </c>
      <c r="J101" s="1">
        <v>-1.3299999999999999E-2</v>
      </c>
      <c r="K101" s="1">
        <v>0.54900000000000004</v>
      </c>
    </row>
    <row r="102" spans="7:11">
      <c r="G102" s="1">
        <v>1</v>
      </c>
      <c r="H102" s="1">
        <v>1</v>
      </c>
      <c r="I102" s="1">
        <v>3.4000000000000002E-4</v>
      </c>
      <c r="J102" s="1">
        <v>2.9199999999999999E-3</v>
      </c>
      <c r="K102" s="1">
        <v>0.80100000000000005</v>
      </c>
    </row>
    <row r="103" spans="7:11">
      <c r="G103" s="1">
        <v>1</v>
      </c>
      <c r="H103" s="1">
        <v>34</v>
      </c>
      <c r="I103" s="1">
        <v>2.16E-3</v>
      </c>
      <c r="J103" s="1">
        <v>8.0199999999999994E-3</v>
      </c>
      <c r="K103" s="1">
        <v>0.44400000000000001</v>
      </c>
    </row>
    <row r="104" spans="7:11">
      <c r="G104" s="1">
        <v>1</v>
      </c>
      <c r="H104" s="1">
        <v>33</v>
      </c>
      <c r="I104" s="1">
        <v>8.6599999999999993E-3</v>
      </c>
      <c r="J104" s="1">
        <v>1.5900000000000001E-2</v>
      </c>
      <c r="K104" s="1">
        <v>-0.16800000000000001</v>
      </c>
    </row>
    <row r="105" spans="7:11">
      <c r="G105" s="1">
        <v>1</v>
      </c>
      <c r="H105" s="1">
        <v>32</v>
      </c>
      <c r="I105" s="1">
        <v>2.0400000000000001E-2</v>
      </c>
      <c r="J105" s="1">
        <v>2.29E-2</v>
      </c>
      <c r="K105" s="1">
        <v>-0.70699999999999996</v>
      </c>
    </row>
    <row r="106" spans="7:11">
      <c r="G106" s="1">
        <v>1</v>
      </c>
      <c r="H106" s="1">
        <v>31</v>
      </c>
      <c r="I106" s="1">
        <v>3.5299999999999998E-2</v>
      </c>
      <c r="J106" s="1">
        <v>2.7E-2</v>
      </c>
      <c r="K106" s="1">
        <v>-1.07</v>
      </c>
    </row>
    <row r="107" spans="7:11">
      <c r="G107" s="1">
        <v>1</v>
      </c>
      <c r="H107" s="1">
        <v>30</v>
      </c>
      <c r="I107" s="1">
        <v>6.0400000000000002E-2</v>
      </c>
      <c r="J107" s="1">
        <v>3.1300000000000001E-2</v>
      </c>
      <c r="K107" s="1">
        <v>-0.629</v>
      </c>
    </row>
    <row r="108" spans="7:11">
      <c r="G108" s="1">
        <v>1</v>
      </c>
      <c r="H108" s="1">
        <v>29</v>
      </c>
      <c r="I108" s="1">
        <v>9.9599999999999994E-2</v>
      </c>
      <c r="J108" s="1">
        <v>3.6200000000000003E-2</v>
      </c>
      <c r="K108" s="1">
        <v>-0.46500000000000002</v>
      </c>
    </row>
    <row r="109" spans="7:11">
      <c r="G109" s="1">
        <v>1</v>
      </c>
      <c r="H109" s="1">
        <v>28</v>
      </c>
      <c r="I109" s="1">
        <v>0.15</v>
      </c>
      <c r="J109" s="1">
        <v>4.0800000000000003E-2</v>
      </c>
      <c r="K109" s="1">
        <v>-0.442</v>
      </c>
    </row>
    <row r="110" spans="7:11">
      <c r="G110" s="1">
        <v>1</v>
      </c>
      <c r="H110" s="1">
        <v>27</v>
      </c>
      <c r="I110" s="1">
        <v>0.2</v>
      </c>
      <c r="J110" s="1">
        <v>4.41E-2</v>
      </c>
      <c r="K110" s="1">
        <v>-0.45500000000000002</v>
      </c>
    </row>
    <row r="111" spans="7:11">
      <c r="G111" s="1">
        <v>1</v>
      </c>
      <c r="H111" s="1">
        <v>26</v>
      </c>
      <c r="I111" s="1">
        <v>0.25</v>
      </c>
      <c r="J111" s="1">
        <v>4.65E-2</v>
      </c>
      <c r="K111" s="1">
        <v>-0.45900000000000002</v>
      </c>
    </row>
    <row r="112" spans="7:11">
      <c r="G112" s="1">
        <v>1</v>
      </c>
      <c r="H112" s="1">
        <v>25</v>
      </c>
      <c r="I112" s="1">
        <v>0.30099999999999999</v>
      </c>
      <c r="J112" s="1">
        <v>4.8000000000000001E-2</v>
      </c>
      <c r="K112" s="1">
        <v>-0.46200000000000002</v>
      </c>
    </row>
    <row r="113" spans="7:11">
      <c r="G113" s="1">
        <v>1</v>
      </c>
      <c r="H113" s="1">
        <v>24</v>
      </c>
      <c r="I113" s="1">
        <v>0.35099999999999998</v>
      </c>
      <c r="J113" s="1">
        <v>4.8800000000000003E-2</v>
      </c>
      <c r="K113" s="1">
        <v>-0.48099999999999998</v>
      </c>
    </row>
    <row r="114" spans="7:11">
      <c r="G114" s="1">
        <v>1</v>
      </c>
      <c r="H114" s="1">
        <v>23</v>
      </c>
      <c r="I114" s="1">
        <v>0.4</v>
      </c>
      <c r="J114" s="1">
        <v>4.8899999999999999E-2</v>
      </c>
      <c r="K114" s="1">
        <v>-0.505</v>
      </c>
    </row>
    <row r="115" spans="7:11">
      <c r="G115" s="1">
        <v>1</v>
      </c>
      <c r="H115" s="1">
        <v>22</v>
      </c>
      <c r="I115" s="1">
        <v>0.45</v>
      </c>
      <c r="J115" s="1">
        <v>4.8099999999999997E-2</v>
      </c>
      <c r="K115" s="1">
        <v>-0.54700000000000004</v>
      </c>
    </row>
    <row r="116" spans="7:11">
      <c r="G116" s="1">
        <v>1</v>
      </c>
      <c r="H116" s="1">
        <v>21</v>
      </c>
      <c r="I116" s="1">
        <v>0.5</v>
      </c>
      <c r="J116" s="1">
        <v>4.65E-2</v>
      </c>
      <c r="K116" s="1">
        <v>-0.57599999999999996</v>
      </c>
    </row>
    <row r="117" spans="7:11">
      <c r="G117" s="1">
        <v>1</v>
      </c>
      <c r="H117" s="1">
        <v>20</v>
      </c>
      <c r="I117" s="1">
        <v>0.55000000000000004</v>
      </c>
      <c r="J117" s="1">
        <v>4.3900000000000002E-2</v>
      </c>
      <c r="K117" s="1">
        <v>-0.57999999999999996</v>
      </c>
    </row>
    <row r="118" spans="7:11">
      <c r="G118" s="1">
        <v>1</v>
      </c>
      <c r="H118" s="1">
        <v>19</v>
      </c>
      <c r="I118" s="1">
        <v>0.6</v>
      </c>
      <c r="J118" s="1">
        <v>4.0800000000000003E-2</v>
      </c>
      <c r="K118" s="1">
        <v>-0.39800000000000002</v>
      </c>
    </row>
    <row r="119" spans="7:11">
      <c r="G119" s="1">
        <v>1</v>
      </c>
      <c r="H119" s="1">
        <v>18</v>
      </c>
      <c r="I119" s="1">
        <v>0.65</v>
      </c>
      <c r="J119" s="1">
        <v>3.7100000000000001E-2</v>
      </c>
      <c r="K119" s="1">
        <v>-0.307</v>
      </c>
    </row>
    <row r="120" spans="7:11">
      <c r="G120" s="1">
        <v>1</v>
      </c>
      <c r="H120" s="1">
        <v>17</v>
      </c>
      <c r="I120" s="1">
        <v>0.71</v>
      </c>
      <c r="J120" s="1">
        <v>3.2199999999999999E-2</v>
      </c>
      <c r="K120" s="1">
        <v>-0.23799999999999999</v>
      </c>
    </row>
    <row r="121" spans="7:11">
      <c r="G121" s="1">
        <v>1</v>
      </c>
      <c r="H121" s="1">
        <v>16</v>
      </c>
      <c r="I121" s="1">
        <v>0.78</v>
      </c>
      <c r="J121" s="1">
        <v>2.5600000000000001E-2</v>
      </c>
      <c r="K121" s="1">
        <v>-0.16</v>
      </c>
    </row>
    <row r="122" spans="7:11">
      <c r="G122" s="1">
        <v>1</v>
      </c>
      <c r="H122" s="1">
        <v>15</v>
      </c>
      <c r="I122" s="1">
        <v>0.85</v>
      </c>
      <c r="J122" s="1">
        <v>1.8100000000000002E-2</v>
      </c>
      <c r="K122" s="1">
        <v>-5.8200000000000002E-2</v>
      </c>
    </row>
    <row r="123" spans="7:11">
      <c r="G123" s="1">
        <v>1</v>
      </c>
      <c r="H123" s="1">
        <v>14</v>
      </c>
      <c r="I123" s="1">
        <v>0.92</v>
      </c>
      <c r="J123" s="1">
        <v>1.0200000000000001E-2</v>
      </c>
      <c r="K123" s="1">
        <v>5.9499999999999997E-2</v>
      </c>
    </row>
    <row r="124" spans="7:11">
      <c r="G124" s="1">
        <v>1</v>
      </c>
      <c r="H124" s="1">
        <v>13</v>
      </c>
      <c r="I124" s="1">
        <v>0.98499999999999999</v>
      </c>
      <c r="J124" s="1">
        <v>2.65E-3</v>
      </c>
      <c r="K124" s="1">
        <v>0.17599999999999999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5CBF-07AD-412C-9B52-8FE17E2D4378}">
  <dimension ref="A1:L125"/>
  <sheetViews>
    <sheetView tabSelected="1" workbookViewId="0">
      <selection activeCell="F2" sqref="F2"/>
    </sheetView>
  </sheetViews>
  <sheetFormatPr defaultRowHeight="17"/>
  <cols>
    <col min="2" max="2" width="9.5" style="2" bestFit="1" customWidth="1"/>
    <col min="3" max="3" width="10.25" style="2" bestFit="1" customWidth="1"/>
    <col min="4" max="4" width="19.5" style="2" bestFit="1" customWidth="1"/>
    <col min="6" max="8" width="9.5" style="2" bestFit="1" customWidth="1"/>
    <col min="9" max="9" width="10.5" style="2" bestFit="1" customWidth="1"/>
    <col min="12" max="12" width="11.33203125" bestFit="1" customWidth="1"/>
  </cols>
  <sheetData>
    <row r="1" spans="1:9">
      <c r="B1" s="2" t="s">
        <v>0</v>
      </c>
      <c r="C1" s="2" t="s">
        <v>1</v>
      </c>
      <c r="D1" s="2" t="s">
        <v>2</v>
      </c>
      <c r="H1" s="6" t="s">
        <v>3</v>
      </c>
      <c r="I1" s="6" t="s">
        <v>4</v>
      </c>
    </row>
    <row r="2" spans="1:9">
      <c r="A2">
        <v>2</v>
      </c>
      <c r="B2" s="2">
        <v>0.95340320000000001</v>
      </c>
      <c r="C2" s="2">
        <v>3.5154400000000002E-2</v>
      </c>
      <c r="D2" s="2">
        <v>0.20508670000000001</v>
      </c>
      <c r="F2" s="2">
        <f>MAX(B2:B90)</f>
        <v>0.95340320000000001</v>
      </c>
      <c r="G2" s="2">
        <f>F2-F3</f>
        <v>0.65073930000000002</v>
      </c>
      <c r="H2" s="3">
        <f>(B2-$F$3)/$G$2</f>
        <v>1</v>
      </c>
      <c r="I2" s="3">
        <f>D2</f>
        <v>0.20508670000000001</v>
      </c>
    </row>
    <row r="3" spans="1:9">
      <c r="A3">
        <v>2</v>
      </c>
      <c r="B3" s="2">
        <v>0.94432110000000002</v>
      </c>
      <c r="C3" s="2">
        <v>1.4052800000000001E-3</v>
      </c>
      <c r="D3" s="2">
        <v>0.17752299999999999</v>
      </c>
      <c r="F3" s="2">
        <f>MIN(B2:B90)</f>
        <v>0.30266389999999999</v>
      </c>
      <c r="H3" s="3">
        <f t="shared" ref="H3:H67" si="0">(B3-$F$3)/$G$2</f>
        <v>0.98604341246947902</v>
      </c>
      <c r="I3" s="3">
        <f t="shared" ref="I3:I67" si="1">D3</f>
        <v>0.17752299999999999</v>
      </c>
    </row>
    <row r="4" spans="1:9">
      <c r="A4">
        <v>2</v>
      </c>
      <c r="B4" s="2">
        <v>0.93500570000000005</v>
      </c>
      <c r="C4" s="2">
        <v>2.8143999999999999E-3</v>
      </c>
      <c r="D4" s="2">
        <v>0.1546392</v>
      </c>
      <c r="H4" s="3">
        <f t="shared" si="0"/>
        <v>0.97172830963182955</v>
      </c>
      <c r="I4" s="3">
        <f t="shared" si="1"/>
        <v>0.1546392</v>
      </c>
    </row>
    <row r="5" spans="1:9">
      <c r="A5">
        <v>2</v>
      </c>
      <c r="B5" s="2">
        <v>0.92525539999999995</v>
      </c>
      <c r="C5" s="2">
        <v>4.26335E-3</v>
      </c>
      <c r="D5" s="2">
        <v>0.12865209999999999</v>
      </c>
      <c r="H5" s="3">
        <f t="shared" si="0"/>
        <v>0.95674489000433804</v>
      </c>
      <c r="I5" s="3">
        <f t="shared" si="1"/>
        <v>0.12865209999999999</v>
      </c>
    </row>
    <row r="6" spans="1:9">
      <c r="A6">
        <v>2</v>
      </c>
      <c r="B6" s="2">
        <v>0.91490130000000003</v>
      </c>
      <c r="C6" s="2">
        <v>5.7795399999999997E-3</v>
      </c>
      <c r="D6" s="2">
        <v>0.1031045</v>
      </c>
      <c r="H6" s="3">
        <f t="shared" si="0"/>
        <v>0.94083360264241001</v>
      </c>
      <c r="I6" s="3">
        <f t="shared" si="1"/>
        <v>0.1031045</v>
      </c>
    </row>
    <row r="7" spans="1:9">
      <c r="A7">
        <v>2</v>
      </c>
      <c r="B7" s="2">
        <v>0.90380470000000002</v>
      </c>
      <c r="C7" s="2">
        <v>7.3743200000000002E-3</v>
      </c>
      <c r="D7" s="2">
        <v>7.7011189999999993E-2</v>
      </c>
      <c r="H7" s="3">
        <f t="shared" si="0"/>
        <v>0.923781305355309</v>
      </c>
      <c r="I7" s="3">
        <f t="shared" si="1"/>
        <v>7.7011189999999993E-2</v>
      </c>
    </row>
    <row r="8" spans="1:9">
      <c r="A8">
        <v>2</v>
      </c>
      <c r="B8" s="2">
        <v>0.89185519999999996</v>
      </c>
      <c r="C8" s="2">
        <v>9.0441400000000009E-3</v>
      </c>
      <c r="D8" s="2">
        <v>5.1121439999999997E-2</v>
      </c>
      <c r="H8" s="3">
        <f t="shared" si="0"/>
        <v>0.90541834495012052</v>
      </c>
      <c r="I8" s="3">
        <f t="shared" si="1"/>
        <v>5.1121439999999997E-2</v>
      </c>
    </row>
    <row r="9" spans="1:9">
      <c r="A9">
        <v>2</v>
      </c>
      <c r="B9" s="2">
        <v>0.87897069999999999</v>
      </c>
      <c r="C9" s="2">
        <v>1.07811E-2</v>
      </c>
      <c r="D9" s="2">
        <v>2.5807509999999999E-2</v>
      </c>
      <c r="H9" s="3">
        <f t="shared" si="0"/>
        <v>0.88561855723175165</v>
      </c>
      <c r="I9" s="3">
        <f t="shared" si="1"/>
        <v>2.5807509999999999E-2</v>
      </c>
    </row>
    <row r="10" spans="1:9">
      <c r="A10">
        <v>2</v>
      </c>
      <c r="B10" s="2">
        <v>0.86509510000000001</v>
      </c>
      <c r="C10" s="2">
        <v>1.2574800000000001E-2</v>
      </c>
      <c r="D10" s="2">
        <v>1.787554E-3</v>
      </c>
      <c r="H10" s="3">
        <f t="shared" si="0"/>
        <v>0.86429573256141135</v>
      </c>
      <c r="I10" s="3">
        <f t="shared" si="1"/>
        <v>1.787554E-3</v>
      </c>
    </row>
    <row r="11" spans="1:9">
      <c r="A11">
        <v>2</v>
      </c>
      <c r="B11" s="2">
        <v>0.8501976</v>
      </c>
      <c r="C11" s="2">
        <v>1.44149E-2</v>
      </c>
      <c r="D11" s="2">
        <v>-2.0830629999999999E-2</v>
      </c>
      <c r="H11" s="3">
        <f t="shared" si="0"/>
        <v>0.84140254015701832</v>
      </c>
      <c r="I11" s="3">
        <f t="shared" si="1"/>
        <v>-2.0830629999999999E-2</v>
      </c>
    </row>
    <row r="12" spans="1:9">
      <c r="A12">
        <v>2</v>
      </c>
      <c r="B12" s="2">
        <v>0.83427059999999997</v>
      </c>
      <c r="C12" s="2">
        <v>1.6293200000000001E-2</v>
      </c>
      <c r="D12" s="2">
        <v>-4.1917990000000002E-2</v>
      </c>
      <c r="H12" s="3">
        <f t="shared" si="0"/>
        <v>0.81692730099442279</v>
      </c>
      <c r="I12" s="3">
        <f t="shared" si="1"/>
        <v>-4.1917990000000002E-2</v>
      </c>
    </row>
    <row r="13" spans="1:9">
      <c r="A13">
        <v>2</v>
      </c>
      <c r="B13" s="2">
        <v>0.81732839999999995</v>
      </c>
      <c r="C13" s="2">
        <v>1.8203199999999999E-2</v>
      </c>
      <c r="D13" s="2">
        <v>-6.2065620000000002E-2</v>
      </c>
      <c r="H13" s="3">
        <f t="shared" si="0"/>
        <v>0.79089199007959099</v>
      </c>
      <c r="I13" s="3">
        <f t="shared" si="1"/>
        <v>-6.2065620000000002E-2</v>
      </c>
    </row>
    <row r="14" spans="1:9">
      <c r="A14">
        <v>2</v>
      </c>
      <c r="B14" s="2">
        <v>0.79940480000000003</v>
      </c>
      <c r="C14" s="2">
        <v>2.0140600000000002E-2</v>
      </c>
      <c r="D14" s="2">
        <v>-8.1882769999999994E-2</v>
      </c>
      <c r="H14" s="3">
        <f t="shared" si="0"/>
        <v>0.76334854833571608</v>
      </c>
      <c r="I14" s="3">
        <f t="shared" si="1"/>
        <v>-8.1882769999999994E-2</v>
      </c>
    </row>
    <row r="15" spans="1:9">
      <c r="A15">
        <v>2</v>
      </c>
      <c r="B15" s="2">
        <v>0.78055169999999996</v>
      </c>
      <c r="C15" s="2">
        <v>2.2098900000000001E-2</v>
      </c>
      <c r="D15" s="2">
        <v>-0.10234409999999999</v>
      </c>
      <c r="H15" s="3">
        <f t="shared" si="0"/>
        <v>0.73437673120403202</v>
      </c>
      <c r="I15" s="3">
        <f t="shared" si="1"/>
        <v>-0.10234409999999999</v>
      </c>
    </row>
    <row r="16" spans="1:9">
      <c r="A16">
        <v>2</v>
      </c>
      <c r="B16" s="2">
        <v>0.76083650000000003</v>
      </c>
      <c r="C16" s="2">
        <v>2.40667E-2</v>
      </c>
      <c r="D16" s="2">
        <v>-0.12411759999999999</v>
      </c>
      <c r="H16" s="3">
        <f t="shared" si="0"/>
        <v>0.70408011318818464</v>
      </c>
      <c r="I16" s="3">
        <f t="shared" si="1"/>
        <v>-0.12411759999999999</v>
      </c>
    </row>
    <row r="17" spans="1:9">
      <c r="A17">
        <v>2</v>
      </c>
      <c r="B17" s="2">
        <v>0.74034080000000002</v>
      </c>
      <c r="C17" s="2">
        <v>2.6023299999999999E-2</v>
      </c>
      <c r="D17" s="2">
        <v>-0.14769009999999999</v>
      </c>
      <c r="H17" s="3">
        <f t="shared" si="0"/>
        <v>0.67258409012641474</v>
      </c>
      <c r="I17" s="3">
        <f t="shared" si="1"/>
        <v>-0.14769009999999999</v>
      </c>
    </row>
    <row r="18" spans="1:9">
      <c r="A18">
        <v>2</v>
      </c>
      <c r="B18" s="2">
        <v>0.71915790000000002</v>
      </c>
      <c r="C18" s="2">
        <v>2.7936699999999998E-2</v>
      </c>
      <c r="D18" s="2">
        <v>-0.17289370000000001</v>
      </c>
      <c r="H18" s="3">
        <f t="shared" si="0"/>
        <v>0.64003203740729975</v>
      </c>
      <c r="I18" s="3">
        <f t="shared" si="1"/>
        <v>-0.17289370000000001</v>
      </c>
    </row>
    <row r="19" spans="1:9">
      <c r="A19">
        <v>2</v>
      </c>
      <c r="B19" s="2">
        <v>0.69739220000000002</v>
      </c>
      <c r="C19" s="2">
        <v>2.9763299999999999E-2</v>
      </c>
      <c r="D19" s="2">
        <v>-0.1990276</v>
      </c>
      <c r="H19" s="3">
        <f t="shared" si="0"/>
        <v>0.60658438794153058</v>
      </c>
      <c r="I19" s="3">
        <f t="shared" si="1"/>
        <v>-0.1990276</v>
      </c>
    </row>
    <row r="20" spans="1:9">
      <c r="A20">
        <v>2</v>
      </c>
      <c r="B20" s="2">
        <v>0.67515689999999995</v>
      </c>
      <c r="C20" s="2">
        <v>3.1451E-2</v>
      </c>
      <c r="D20" s="2">
        <v>-0.22459599999999999</v>
      </c>
      <c r="H20" s="3">
        <f t="shared" si="0"/>
        <v>0.57241509772039267</v>
      </c>
      <c r="I20" s="3">
        <f t="shared" si="1"/>
        <v>-0.22459599999999999</v>
      </c>
    </row>
    <row r="21" spans="1:9">
      <c r="A21">
        <v>2</v>
      </c>
      <c r="B21" s="2">
        <v>0.65257390000000004</v>
      </c>
      <c r="C21" s="2">
        <v>3.2944500000000002E-2</v>
      </c>
      <c r="D21" s="2">
        <v>-0.2473342</v>
      </c>
      <c r="H21" s="3">
        <f t="shared" si="0"/>
        <v>0.5377114921443964</v>
      </c>
      <c r="I21" s="3">
        <f t="shared" si="1"/>
        <v>-0.2473342</v>
      </c>
    </row>
    <row r="22" spans="1:9">
      <c r="A22">
        <v>2</v>
      </c>
      <c r="B22" s="2">
        <v>0.62977209999999995</v>
      </c>
      <c r="C22" s="2">
        <v>3.4192300000000002E-2</v>
      </c>
      <c r="D22" s="2">
        <v>-0.26437129999999998</v>
      </c>
      <c r="H22" s="3">
        <f t="shared" si="0"/>
        <v>0.50267165360997856</v>
      </c>
      <c r="I22" s="3">
        <f t="shared" si="1"/>
        <v>-0.26437129999999998</v>
      </c>
    </row>
    <row r="23" spans="1:9">
      <c r="A23">
        <v>2</v>
      </c>
      <c r="B23" s="2">
        <v>0.60688580000000003</v>
      </c>
      <c r="C23" s="2">
        <v>3.5806699999999997E-2</v>
      </c>
      <c r="D23" s="2">
        <v>-0.273316</v>
      </c>
      <c r="H23" s="3">
        <f t="shared" si="0"/>
        <v>0.46750196276757838</v>
      </c>
      <c r="I23" s="3">
        <f t="shared" si="1"/>
        <v>-0.273316</v>
      </c>
    </row>
    <row r="24" spans="1:9">
      <c r="A24">
        <v>2</v>
      </c>
      <c r="B24" s="2">
        <v>0.58405379999999996</v>
      </c>
      <c r="C24" s="2">
        <v>3.6144299999999997E-2</v>
      </c>
      <c r="D24" s="2">
        <v>-0.27315230000000001</v>
      </c>
      <c r="H24" s="3">
        <f t="shared" si="0"/>
        <v>0.43241571547930169</v>
      </c>
      <c r="I24" s="3">
        <f t="shared" si="1"/>
        <v>-0.27315230000000001</v>
      </c>
    </row>
    <row r="25" spans="1:9">
      <c r="A25">
        <v>2</v>
      </c>
      <c r="B25" s="2">
        <v>0.56141609999999997</v>
      </c>
      <c r="C25" s="2">
        <v>3.61801E-2</v>
      </c>
      <c r="D25" s="2">
        <v>-0.26459820000000001</v>
      </c>
      <c r="H25" s="3">
        <f t="shared" si="0"/>
        <v>0.39762805166370002</v>
      </c>
      <c r="I25" s="3">
        <f t="shared" si="1"/>
        <v>-0.26459820000000001</v>
      </c>
    </row>
    <row r="26" spans="1:9">
      <c r="A26">
        <v>2</v>
      </c>
      <c r="B26" s="2">
        <v>0.53911220000000004</v>
      </c>
      <c r="C26" s="2">
        <v>3.5940300000000001E-2</v>
      </c>
      <c r="D26" s="2">
        <v>-0.24959100000000001</v>
      </c>
      <c r="H26" s="3">
        <f t="shared" si="0"/>
        <v>0.36335334288247234</v>
      </c>
      <c r="I26" s="3">
        <f t="shared" si="1"/>
        <v>-0.24959100000000001</v>
      </c>
    </row>
    <row r="27" spans="1:9">
      <c r="A27">
        <v>2</v>
      </c>
      <c r="B27" s="2">
        <v>0.51727880000000004</v>
      </c>
      <c r="C27" s="2">
        <v>3.5458299999999998E-2</v>
      </c>
      <c r="D27" s="2">
        <v>-0.23055229999999999</v>
      </c>
      <c r="H27" s="3">
        <f t="shared" si="0"/>
        <v>0.32980165789894672</v>
      </c>
      <c r="I27" s="3">
        <f t="shared" si="1"/>
        <v>-0.23055229999999999</v>
      </c>
    </row>
    <row r="28" spans="1:9">
      <c r="A28">
        <v>2</v>
      </c>
      <c r="B28" s="2">
        <v>0.49604749999999997</v>
      </c>
      <c r="C28" s="2">
        <v>3.4768800000000002E-2</v>
      </c>
      <c r="D28" s="2">
        <v>-0.2097049</v>
      </c>
      <c r="H28" s="3">
        <f t="shared" si="0"/>
        <v>0.29717522823656106</v>
      </c>
      <c r="I28" s="3">
        <f t="shared" si="1"/>
        <v>-0.2097049</v>
      </c>
    </row>
    <row r="29" spans="1:9">
      <c r="A29">
        <v>2</v>
      </c>
      <c r="B29" s="2">
        <v>0.4755431</v>
      </c>
      <c r="C29" s="2">
        <v>3.3901599999999997E-2</v>
      </c>
      <c r="D29" s="2">
        <v>-0.18873780000000001</v>
      </c>
      <c r="H29" s="3">
        <f t="shared" si="0"/>
        <v>0.26566583576556696</v>
      </c>
      <c r="I29" s="3">
        <f t="shared" si="1"/>
        <v>-0.18873780000000001</v>
      </c>
    </row>
    <row r="30" spans="1:9">
      <c r="A30">
        <v>2</v>
      </c>
      <c r="B30" s="2">
        <v>0.45588309999999999</v>
      </c>
      <c r="C30" s="2">
        <v>-3.2879699999999998E-2</v>
      </c>
      <c r="D30" s="2">
        <v>-0.1685992</v>
      </c>
      <c r="H30" s="3">
        <f t="shared" si="0"/>
        <v>0.23545404434617673</v>
      </c>
      <c r="I30" s="3">
        <f t="shared" si="1"/>
        <v>-0.1685992</v>
      </c>
    </row>
    <row r="31" spans="1:9">
      <c r="A31">
        <v>2</v>
      </c>
      <c r="B31" s="2">
        <v>0.43717470000000003</v>
      </c>
      <c r="C31" s="2">
        <v>-1.9287200000000001E-2</v>
      </c>
      <c r="D31" s="2">
        <v>-0.59193050000000003</v>
      </c>
      <c r="H31" s="3">
        <f t="shared" si="0"/>
        <v>0.20670458968745248</v>
      </c>
      <c r="I31" s="3">
        <f>L39</f>
        <v>-0.1495147</v>
      </c>
    </row>
    <row r="32" spans="1:9">
      <c r="A32">
        <v>2</v>
      </c>
      <c r="B32" s="2">
        <v>0.41951480000000002</v>
      </c>
      <c r="C32" s="2">
        <v>-1.70411E-2</v>
      </c>
      <c r="D32" s="2">
        <v>-0.586731</v>
      </c>
      <c r="H32" s="3">
        <f t="shared" si="0"/>
        <v>0.17956637934730549</v>
      </c>
      <c r="I32" s="3">
        <f>L38</f>
        <v>-0.13106010000000001</v>
      </c>
    </row>
    <row r="33" spans="1:12">
      <c r="A33">
        <v>2</v>
      </c>
      <c r="B33" s="2">
        <v>0.40298729999999999</v>
      </c>
      <c r="C33" s="2">
        <v>-1.41759E-2</v>
      </c>
      <c r="D33" s="2">
        <v>-0.58692500000000003</v>
      </c>
      <c r="H33" s="3">
        <f t="shared" si="0"/>
        <v>0.15416834360549608</v>
      </c>
      <c r="I33" s="3">
        <f>L37</f>
        <v>-0.1123902</v>
      </c>
    </row>
    <row r="34" spans="1:12">
      <c r="A34">
        <v>2</v>
      </c>
      <c r="B34" s="2">
        <v>0.38766260000000002</v>
      </c>
      <c r="C34" s="2">
        <v>-1.08588E-2</v>
      </c>
      <c r="D34" s="2">
        <v>-0.61151699999999998</v>
      </c>
      <c r="H34" s="3">
        <f t="shared" si="0"/>
        <v>0.13061866710678152</v>
      </c>
      <c r="I34" s="3">
        <f>L36</f>
        <v>-9.2547459999999998E-2</v>
      </c>
    </row>
    <row r="35" spans="1:12">
      <c r="A35">
        <v>2</v>
      </c>
      <c r="B35" s="2">
        <v>0.37359439999999999</v>
      </c>
      <c r="C35" s="2">
        <v>-7.3227300000000004E-3</v>
      </c>
      <c r="D35" s="2">
        <v>-0.68665469999999995</v>
      </c>
      <c r="H35" s="3">
        <f t="shared" si="0"/>
        <v>0.10899987137706299</v>
      </c>
      <c r="I35" s="3">
        <f>L35</f>
        <v>-7.1094539999999998E-2</v>
      </c>
      <c r="K35">
        <v>0.10899987137706299</v>
      </c>
      <c r="L35">
        <v>-7.1094539999999998E-2</v>
      </c>
    </row>
    <row r="36" spans="1:12">
      <c r="A36">
        <v>2</v>
      </c>
      <c r="B36" s="2">
        <v>0.36081839999999998</v>
      </c>
      <c r="C36" s="2">
        <v>-3.4192300000000002E-2</v>
      </c>
      <c r="D36" s="2">
        <v>-4.8406650000000002E-2</v>
      </c>
      <c r="H36" s="3">
        <f t="shared" si="0"/>
        <v>8.9366817095571136E-2</v>
      </c>
      <c r="I36" s="3">
        <f t="shared" si="1"/>
        <v>-4.8406650000000002E-2</v>
      </c>
      <c r="K36">
        <v>0.13061866710678152</v>
      </c>
      <c r="L36">
        <v>-9.2547459999999998E-2</v>
      </c>
    </row>
    <row r="37" spans="1:12">
      <c r="A37">
        <v>2</v>
      </c>
      <c r="B37" s="2">
        <v>0.34934989999999999</v>
      </c>
      <c r="C37" s="2">
        <v>-3.2944500000000002E-2</v>
      </c>
      <c r="D37" s="2">
        <v>-2.498939E-2</v>
      </c>
      <c r="H37" s="3">
        <f t="shared" si="0"/>
        <v>7.1743015981976202E-2</v>
      </c>
      <c r="I37" s="3">
        <f t="shared" si="1"/>
        <v>-2.498939E-2</v>
      </c>
      <c r="K37">
        <v>0.15416834360549608</v>
      </c>
      <c r="L37">
        <v>-0.1123902</v>
      </c>
    </row>
    <row r="38" spans="1:12">
      <c r="A38">
        <v>2</v>
      </c>
      <c r="B38" s="2">
        <v>0.33918140000000002</v>
      </c>
      <c r="C38" s="2">
        <v>-3.1451E-2</v>
      </c>
      <c r="D38" s="2">
        <v>-1.239997E-2</v>
      </c>
      <c r="H38" s="3">
        <f t="shared" si="0"/>
        <v>5.611694268349865E-2</v>
      </c>
      <c r="I38" s="3">
        <f t="shared" si="1"/>
        <v>-1.239997E-2</v>
      </c>
      <c r="K38">
        <v>0.17956637934730549</v>
      </c>
      <c r="L38">
        <v>-0.13106010000000001</v>
      </c>
    </row>
    <row r="39" spans="1:12">
      <c r="A39">
        <v>2</v>
      </c>
      <c r="B39" s="2">
        <v>0.33028190000000002</v>
      </c>
      <c r="C39" s="2">
        <v>-2.9763299999999999E-2</v>
      </c>
      <c r="D39" s="2">
        <v>-3.2633240000000001E-2</v>
      </c>
      <c r="H39" s="3">
        <f t="shared" si="0"/>
        <v>4.2440959075316385E-2</v>
      </c>
      <c r="I39" s="3">
        <f t="shared" si="1"/>
        <v>-3.2633240000000001E-2</v>
      </c>
      <c r="K39">
        <v>0.20670458968745248</v>
      </c>
      <c r="L39">
        <v>-0.1495147</v>
      </c>
    </row>
    <row r="40" spans="1:12">
      <c r="A40">
        <v>2</v>
      </c>
      <c r="B40" s="2">
        <v>0.32262930000000001</v>
      </c>
      <c r="C40" s="2">
        <v>-2.7936699999999998E-2</v>
      </c>
      <c r="D40" s="2">
        <v>-4.489253E-2</v>
      </c>
      <c r="H40" s="3">
        <f t="shared" si="0"/>
        <v>3.0681103784572443E-2</v>
      </c>
      <c r="I40" s="3">
        <f t="shared" si="1"/>
        <v>-4.489253E-2</v>
      </c>
    </row>
    <row r="41" spans="1:12">
      <c r="A41">
        <v>2</v>
      </c>
      <c r="B41" s="2">
        <v>0.31624829999999998</v>
      </c>
      <c r="C41" s="2">
        <v>-2.6023299999999999E-2</v>
      </c>
      <c r="D41" s="2">
        <v>4.4292310000000001E-2</v>
      </c>
      <c r="H41" s="3">
        <f t="shared" si="0"/>
        <v>2.0875333639754041E-2</v>
      </c>
      <c r="I41" s="3">
        <f t="shared" si="1"/>
        <v>4.4292310000000001E-2</v>
      </c>
    </row>
    <row r="42" spans="1:12">
      <c r="A42">
        <v>2</v>
      </c>
      <c r="B42" s="2">
        <v>0.31117939999999999</v>
      </c>
      <c r="C42" s="2">
        <v>-2.40667E-2</v>
      </c>
      <c r="D42" s="2">
        <v>0.2505637</v>
      </c>
      <c r="H42" s="3">
        <f t="shared" si="0"/>
        <v>1.3085885545870687E-2</v>
      </c>
      <c r="I42" s="3">
        <f t="shared" si="1"/>
        <v>0.2505637</v>
      </c>
    </row>
    <row r="43" spans="1:12">
      <c r="A43">
        <v>2</v>
      </c>
      <c r="B43" s="2">
        <v>0.30739159999999999</v>
      </c>
      <c r="C43" s="2">
        <v>-2.2098900000000001E-2</v>
      </c>
      <c r="D43" s="2">
        <v>0.50295590000000001</v>
      </c>
      <c r="H43" s="3">
        <f t="shared" si="0"/>
        <v>7.265121378100264E-3</v>
      </c>
      <c r="I43" s="3">
        <f t="shared" si="1"/>
        <v>0.50295590000000001</v>
      </c>
    </row>
    <row r="44" spans="1:12">
      <c r="A44">
        <v>2</v>
      </c>
      <c r="B44" s="2">
        <v>0.30476490000000001</v>
      </c>
      <c r="C44" s="2">
        <v>-2.0140600000000002E-2</v>
      </c>
      <c r="D44" s="2">
        <v>0.72161569999999997</v>
      </c>
      <c r="H44" s="3">
        <f t="shared" si="0"/>
        <v>3.2286354919704701E-3</v>
      </c>
      <c r="I44" s="3">
        <f t="shared" si="1"/>
        <v>0.72161569999999997</v>
      </c>
    </row>
    <row r="45" spans="1:12">
      <c r="A45">
        <v>2</v>
      </c>
      <c r="B45" s="2">
        <v>0.30319499999999999</v>
      </c>
      <c r="C45" s="2">
        <v>-1.8203199999999999E-2</v>
      </c>
      <c r="D45" s="2">
        <v>0.83712690000000001</v>
      </c>
      <c r="H45" s="3">
        <f t="shared" si="0"/>
        <v>8.1614864816064825E-4</v>
      </c>
      <c r="I45" s="3">
        <f t="shared" si="1"/>
        <v>0.83712690000000001</v>
      </c>
    </row>
    <row r="46" spans="1:12">
      <c r="H46" s="3"/>
      <c r="I46" s="3"/>
    </row>
    <row r="47" spans="1:12">
      <c r="A47">
        <v>1</v>
      </c>
      <c r="B47" s="2">
        <v>0.30266389999999999</v>
      </c>
      <c r="C47" s="2">
        <v>-1.6293200000000001E-2</v>
      </c>
      <c r="D47" s="2">
        <v>0.78141729999999998</v>
      </c>
      <c r="H47" s="3">
        <f t="shared" si="0"/>
        <v>0</v>
      </c>
      <c r="I47" s="3">
        <f t="shared" si="1"/>
        <v>0.78141729999999998</v>
      </c>
    </row>
    <row r="48" spans="1:12">
      <c r="A48">
        <v>1</v>
      </c>
      <c r="B48" s="2">
        <v>0.30319499999999999</v>
      </c>
      <c r="C48" s="2">
        <v>-1.44149E-2</v>
      </c>
      <c r="D48" s="2">
        <v>0.53813750000000005</v>
      </c>
      <c r="H48" s="3">
        <f t="shared" si="0"/>
        <v>8.1614864816064825E-4</v>
      </c>
      <c r="I48" s="3">
        <f t="shared" si="1"/>
        <v>0.53813750000000005</v>
      </c>
    </row>
    <row r="49" spans="1:12">
      <c r="A49">
        <v>1</v>
      </c>
      <c r="B49" s="2">
        <v>0.30476490000000001</v>
      </c>
      <c r="C49" s="2">
        <v>-1.2574800000000001E-2</v>
      </c>
      <c r="D49" s="2">
        <v>0.18628839999999999</v>
      </c>
      <c r="H49" s="3">
        <f t="shared" si="0"/>
        <v>3.2286354919704701E-3</v>
      </c>
      <c r="I49" s="3">
        <f t="shared" si="1"/>
        <v>0.18628839999999999</v>
      </c>
    </row>
    <row r="50" spans="1:12">
      <c r="A50">
        <v>1</v>
      </c>
      <c r="B50" s="2">
        <v>0.30739159999999999</v>
      </c>
      <c r="C50" s="2">
        <v>-1.07811E-2</v>
      </c>
      <c r="D50" s="2">
        <v>-0.19532540000000001</v>
      </c>
      <c r="H50" s="3">
        <f t="shared" si="0"/>
        <v>7.265121378100264E-3</v>
      </c>
      <c r="I50" s="3">
        <f t="shared" si="1"/>
        <v>-0.19532540000000001</v>
      </c>
    </row>
    <row r="51" spans="1:12">
      <c r="A51">
        <v>1</v>
      </c>
      <c r="B51" s="2">
        <v>0.31117939999999999</v>
      </c>
      <c r="C51" s="2">
        <v>-9.0441400000000009E-3</v>
      </c>
      <c r="D51" s="2">
        <v>-0.56757769999999996</v>
      </c>
      <c r="H51" s="3">
        <f t="shared" si="0"/>
        <v>1.3085885545870687E-2</v>
      </c>
      <c r="I51" s="3">
        <f t="shared" si="1"/>
        <v>-0.56757769999999996</v>
      </c>
    </row>
    <row r="52" spans="1:12">
      <c r="A52">
        <v>1</v>
      </c>
      <c r="B52" s="2">
        <v>0.31624829999999998</v>
      </c>
      <c r="C52" s="2">
        <v>-7.3743200000000002E-3</v>
      </c>
      <c r="D52" s="2">
        <v>-0.87354940000000003</v>
      </c>
      <c r="H52" s="3">
        <f t="shared" si="0"/>
        <v>2.0875333639754041E-2</v>
      </c>
      <c r="I52" s="3">
        <f t="shared" si="1"/>
        <v>-0.87354940000000003</v>
      </c>
    </row>
    <row r="53" spans="1:12">
      <c r="A53">
        <v>1</v>
      </c>
      <c r="B53" s="2">
        <v>0.32262930000000001</v>
      </c>
      <c r="C53" s="2">
        <v>-5.7795399999999997E-3</v>
      </c>
      <c r="D53" s="2">
        <v>-1.0542400000000001</v>
      </c>
      <c r="H53" s="3">
        <f t="shared" si="0"/>
        <v>3.0681103784572443E-2</v>
      </c>
      <c r="I53" s="3">
        <f t="shared" si="1"/>
        <v>-1.0542400000000001</v>
      </c>
    </row>
    <row r="54" spans="1:12">
      <c r="A54">
        <v>1</v>
      </c>
      <c r="B54" s="2">
        <v>0.33028190000000002</v>
      </c>
      <c r="C54" s="2">
        <v>-4.26335E-3</v>
      </c>
      <c r="D54" s="2">
        <v>-1.0994090000000001</v>
      </c>
      <c r="H54" s="3">
        <f t="shared" si="0"/>
        <v>4.2440959075316385E-2</v>
      </c>
      <c r="I54" s="3">
        <f t="shared" si="1"/>
        <v>-1.0994090000000001</v>
      </c>
    </row>
    <row r="55" spans="1:12">
      <c r="A55">
        <v>1</v>
      </c>
      <c r="B55" s="2">
        <v>0.33918140000000002</v>
      </c>
      <c r="C55" s="2">
        <v>-2.8143999999999999E-3</v>
      </c>
      <c r="D55" s="2">
        <v>-1.0509310000000001</v>
      </c>
      <c r="H55" s="3">
        <f t="shared" si="0"/>
        <v>5.611694268349865E-2</v>
      </c>
      <c r="I55" s="3">
        <f t="shared" si="1"/>
        <v>-1.0509310000000001</v>
      </c>
    </row>
    <row r="56" spans="1:12">
      <c r="A56">
        <v>1</v>
      </c>
      <c r="B56" s="2">
        <v>0.34934989999999999</v>
      </c>
      <c r="C56" s="2">
        <v>-1.4052800000000001E-3</v>
      </c>
      <c r="D56" s="2">
        <v>-0.95449729999999999</v>
      </c>
      <c r="H56" s="3">
        <f t="shared" si="0"/>
        <v>7.1743015981976202E-2</v>
      </c>
      <c r="I56" s="3">
        <f t="shared" si="1"/>
        <v>-0.95449729999999999</v>
      </c>
    </row>
    <row r="57" spans="1:12">
      <c r="A57">
        <v>1</v>
      </c>
      <c r="B57" s="2">
        <v>0.36081839999999998</v>
      </c>
      <c r="C57" s="2">
        <v>0</v>
      </c>
      <c r="D57" s="2">
        <v>-0.81911299999999998</v>
      </c>
      <c r="H57" s="3">
        <f t="shared" si="0"/>
        <v>8.9366817095571136E-2</v>
      </c>
      <c r="I57" s="3">
        <f t="shared" si="1"/>
        <v>-0.81911299999999998</v>
      </c>
    </row>
    <row r="58" spans="1:12">
      <c r="A58">
        <v>1</v>
      </c>
      <c r="B58" s="2">
        <v>0.37359439999999999</v>
      </c>
      <c r="C58" s="2">
        <v>-3.5154400000000002E-2</v>
      </c>
      <c r="D58" s="2">
        <v>-7.1094539999999998E-2</v>
      </c>
      <c r="H58" s="3">
        <f t="shared" si="0"/>
        <v>0.10899987137706299</v>
      </c>
      <c r="I58" s="3">
        <f>L66</f>
        <v>-0.68665469999999995</v>
      </c>
    </row>
    <row r="59" spans="1:12">
      <c r="A59">
        <v>1</v>
      </c>
      <c r="B59" s="2">
        <v>0.38766260000000002</v>
      </c>
      <c r="C59" s="2">
        <v>-3.5806699999999997E-2</v>
      </c>
      <c r="D59" s="2">
        <v>-9.2547459999999998E-2</v>
      </c>
      <c r="H59" s="3">
        <f t="shared" si="0"/>
        <v>0.13061866710678152</v>
      </c>
      <c r="I59" s="3">
        <f>L65</f>
        <v>-0.61151699999999998</v>
      </c>
    </row>
    <row r="60" spans="1:12">
      <c r="A60">
        <v>1</v>
      </c>
      <c r="B60" s="2">
        <v>0.40298729999999999</v>
      </c>
      <c r="C60" s="2">
        <v>-3.6144299999999997E-2</v>
      </c>
      <c r="D60" s="2">
        <v>-0.1123902</v>
      </c>
      <c r="H60" s="3">
        <f t="shared" si="0"/>
        <v>0.15416834360549608</v>
      </c>
      <c r="I60" s="3">
        <f>L64</f>
        <v>-0.58692500000000003</v>
      </c>
    </row>
    <row r="61" spans="1:12">
      <c r="A61">
        <v>1</v>
      </c>
      <c r="B61" s="2">
        <v>0.41951480000000002</v>
      </c>
      <c r="C61" s="2">
        <v>-3.61801E-2</v>
      </c>
      <c r="D61" s="2">
        <v>-0.13106010000000001</v>
      </c>
      <c r="H61" s="3">
        <f t="shared" si="0"/>
        <v>0.17956637934730549</v>
      </c>
      <c r="I61" s="3">
        <f>L63</f>
        <v>-0.586731</v>
      </c>
    </row>
    <row r="62" spans="1:12">
      <c r="A62">
        <v>1</v>
      </c>
      <c r="B62" s="2">
        <v>0.43717470000000003</v>
      </c>
      <c r="C62" s="2">
        <v>-3.5940300000000001E-2</v>
      </c>
      <c r="D62" s="2">
        <v>-0.1495147</v>
      </c>
      <c r="H62" s="3">
        <f t="shared" si="0"/>
        <v>0.20670458968745248</v>
      </c>
      <c r="I62" s="3">
        <f>L62</f>
        <v>-0.59193050000000003</v>
      </c>
      <c r="K62">
        <v>0.20670458968745248</v>
      </c>
      <c r="L62">
        <v>-0.59193050000000003</v>
      </c>
    </row>
    <row r="63" spans="1:12">
      <c r="A63">
        <v>1</v>
      </c>
      <c r="B63" s="2">
        <v>0.45588309999999999</v>
      </c>
      <c r="C63" s="2">
        <v>-2.1043699999999999E-2</v>
      </c>
      <c r="D63" s="2">
        <v>-0.59674439999999995</v>
      </c>
      <c r="H63" s="3">
        <f t="shared" si="0"/>
        <v>0.23545404434617673</v>
      </c>
      <c r="I63" s="3">
        <f t="shared" si="1"/>
        <v>-0.59674439999999995</v>
      </c>
      <c r="K63">
        <v>0.17956637934730549</v>
      </c>
      <c r="L63">
        <v>-0.586731</v>
      </c>
    </row>
    <row r="64" spans="1:12">
      <c r="A64">
        <v>1</v>
      </c>
      <c r="B64" s="2">
        <v>0.4755431</v>
      </c>
      <c r="C64" s="2">
        <v>-2.2661500000000001E-2</v>
      </c>
      <c r="D64" s="2">
        <v>-0.60199579999999997</v>
      </c>
      <c r="H64" s="3">
        <f t="shared" si="0"/>
        <v>0.26566583576556696</v>
      </c>
      <c r="I64" s="3">
        <f t="shared" si="1"/>
        <v>-0.60199579999999997</v>
      </c>
      <c r="K64">
        <v>0.15416834360549608</v>
      </c>
      <c r="L64">
        <v>-0.58692500000000003</v>
      </c>
    </row>
    <row r="65" spans="1:12">
      <c r="A65">
        <v>1</v>
      </c>
      <c r="B65" s="2">
        <v>0.49604749999999997</v>
      </c>
      <c r="C65" s="2">
        <v>-2.4304699999999999E-2</v>
      </c>
      <c r="D65" s="2">
        <v>-0.6110063</v>
      </c>
      <c r="H65" s="3">
        <f t="shared" si="0"/>
        <v>0.29717522823656106</v>
      </c>
      <c r="I65" s="3">
        <f t="shared" si="1"/>
        <v>-0.6110063</v>
      </c>
      <c r="K65">
        <v>0.13061866710678152</v>
      </c>
      <c r="L65">
        <v>-0.61151699999999998</v>
      </c>
    </row>
    <row r="66" spans="1:12">
      <c r="A66">
        <v>1</v>
      </c>
      <c r="B66" s="2">
        <v>0.51727880000000004</v>
      </c>
      <c r="C66" s="2">
        <v>-2.5936799999999999E-2</v>
      </c>
      <c r="D66" s="2">
        <v>-0.6271253</v>
      </c>
      <c r="H66" s="3">
        <f t="shared" si="0"/>
        <v>0.32980165789894672</v>
      </c>
      <c r="I66" s="3">
        <f t="shared" si="1"/>
        <v>-0.6271253</v>
      </c>
      <c r="K66">
        <v>0.10899987137706299</v>
      </c>
      <c r="L66">
        <v>-0.68665469999999995</v>
      </c>
    </row>
    <row r="67" spans="1:12">
      <c r="A67">
        <v>1</v>
      </c>
      <c r="B67" s="2">
        <v>0.53911220000000004</v>
      </c>
      <c r="C67" s="2">
        <v>2.75211E-2</v>
      </c>
      <c r="D67" s="2">
        <v>-0.65305500000000005</v>
      </c>
      <c r="H67" s="3">
        <f t="shared" si="0"/>
        <v>0.36335334288247234</v>
      </c>
      <c r="I67" s="3">
        <f t="shared" si="1"/>
        <v>-0.65305500000000005</v>
      </c>
    </row>
    <row r="68" spans="1:12">
      <c r="A68">
        <v>1</v>
      </c>
      <c r="B68" s="2">
        <v>0.56141609999999997</v>
      </c>
      <c r="C68" s="2">
        <v>2.90266E-2</v>
      </c>
      <c r="D68" s="2">
        <v>-0.68678550000000005</v>
      </c>
      <c r="H68" s="3">
        <f t="shared" ref="H68:H90" si="2">(B68-$F$3)/$G$2</f>
        <v>0.39762805166370002</v>
      </c>
      <c r="I68" s="3">
        <f t="shared" ref="I68:I90" si="3">D68</f>
        <v>-0.68678550000000005</v>
      </c>
    </row>
    <row r="69" spans="1:12">
      <c r="A69">
        <v>1</v>
      </c>
      <c r="B69" s="2">
        <v>0.58405379999999996</v>
      </c>
      <c r="C69" s="2">
        <v>3.0431E-2</v>
      </c>
      <c r="D69" s="2">
        <v>-0.71501020000000004</v>
      </c>
      <c r="H69" s="3">
        <f t="shared" si="2"/>
        <v>0.43241571547930169</v>
      </c>
      <c r="I69" s="3">
        <f t="shared" si="3"/>
        <v>-0.71501020000000004</v>
      </c>
    </row>
    <row r="70" spans="1:12">
      <c r="A70">
        <v>1</v>
      </c>
      <c r="B70" s="2">
        <v>0.60688580000000003</v>
      </c>
      <c r="C70" s="2">
        <v>3.1718999999999997E-2</v>
      </c>
      <c r="D70" s="2">
        <v>-0.69907900000000001</v>
      </c>
      <c r="H70" s="3">
        <f t="shared" si="2"/>
        <v>0.46750196276757838</v>
      </c>
      <c r="I70" s="3">
        <f t="shared" si="3"/>
        <v>-0.69907900000000001</v>
      </c>
    </row>
    <row r="71" spans="1:12">
      <c r="A71">
        <v>1</v>
      </c>
      <c r="B71" s="2">
        <v>0.62977209999999995</v>
      </c>
      <c r="C71" s="2">
        <v>3.2879699999999998E-2</v>
      </c>
      <c r="D71" s="2">
        <v>-0.59090969999999998</v>
      </c>
      <c r="H71" s="3">
        <f t="shared" si="2"/>
        <v>0.50267165360997856</v>
      </c>
      <c r="I71" s="3">
        <f t="shared" si="3"/>
        <v>-0.59090969999999998</v>
      </c>
    </row>
    <row r="72" spans="1:12">
      <c r="A72">
        <v>1</v>
      </c>
      <c r="B72" s="2">
        <v>0.65257390000000004</v>
      </c>
      <c r="C72" s="2">
        <v>-3.3901599999999997E-2</v>
      </c>
      <c r="D72" s="2">
        <v>-0.40785149999999998</v>
      </c>
      <c r="H72" s="3">
        <f t="shared" si="2"/>
        <v>0.5377114921443964</v>
      </c>
      <c r="I72" s="3">
        <f t="shared" si="3"/>
        <v>-0.40785149999999998</v>
      </c>
    </row>
    <row r="73" spans="1:12">
      <c r="A73">
        <v>1</v>
      </c>
      <c r="B73" s="2">
        <v>0.67515689999999995</v>
      </c>
      <c r="C73" s="2">
        <v>-3.4768800000000002E-2</v>
      </c>
      <c r="D73" s="2">
        <v>-0.27013019999999999</v>
      </c>
      <c r="H73" s="3">
        <f t="shared" si="2"/>
        <v>0.57241509772039267</v>
      </c>
      <c r="I73" s="3">
        <f t="shared" si="3"/>
        <v>-0.27013019999999999</v>
      </c>
    </row>
    <row r="74" spans="1:12">
      <c r="A74">
        <v>1</v>
      </c>
      <c r="B74" s="2">
        <v>0.69739220000000002</v>
      </c>
      <c r="C74" s="2">
        <v>-3.5458299999999998E-2</v>
      </c>
      <c r="D74" s="2">
        <v>-0.21200260000000001</v>
      </c>
      <c r="H74" s="3">
        <f t="shared" si="2"/>
        <v>0.60658438794153058</v>
      </c>
      <c r="I74" s="3">
        <f t="shared" si="3"/>
        <v>-0.21200260000000001</v>
      </c>
    </row>
    <row r="75" spans="1:12">
      <c r="A75">
        <v>1</v>
      </c>
      <c r="B75" s="2">
        <v>0.71915790000000002</v>
      </c>
      <c r="C75" s="2">
        <v>-3.1718999999999997E-2</v>
      </c>
      <c r="D75" s="2">
        <v>-0.1825387</v>
      </c>
      <c r="H75" s="3">
        <f t="shared" si="2"/>
        <v>0.64003203740729975</v>
      </c>
      <c r="I75" s="3">
        <f t="shared" si="3"/>
        <v>-0.1825387</v>
      </c>
    </row>
    <row r="76" spans="1:12">
      <c r="A76">
        <v>1</v>
      </c>
      <c r="B76" s="2">
        <v>0.74034080000000002</v>
      </c>
      <c r="C76" s="2">
        <v>-3.0431E-2</v>
      </c>
      <c r="D76" s="2">
        <v>-0.1538176</v>
      </c>
      <c r="H76" s="3">
        <f t="shared" si="2"/>
        <v>0.67258409012641474</v>
      </c>
      <c r="I76" s="3">
        <f t="shared" si="3"/>
        <v>-0.1538176</v>
      </c>
    </row>
    <row r="77" spans="1:12">
      <c r="A77">
        <v>1</v>
      </c>
      <c r="B77" s="2">
        <v>0.76083650000000003</v>
      </c>
      <c r="C77" s="2">
        <v>-2.90266E-2</v>
      </c>
      <c r="D77" s="2">
        <v>-0.1228564</v>
      </c>
      <c r="H77" s="3">
        <f t="shared" si="2"/>
        <v>0.70408011318818464</v>
      </c>
      <c r="I77" s="3">
        <f t="shared" si="3"/>
        <v>-0.1228564</v>
      </c>
    </row>
    <row r="78" spans="1:12">
      <c r="A78">
        <v>1</v>
      </c>
      <c r="B78" s="2">
        <v>0.78055169999999996</v>
      </c>
      <c r="C78" s="2">
        <v>-2.75211E-2</v>
      </c>
      <c r="D78" s="2">
        <v>-9.2981289999999994E-2</v>
      </c>
      <c r="H78" s="3">
        <f t="shared" si="2"/>
        <v>0.73437673120403202</v>
      </c>
      <c r="I78" s="3">
        <f t="shared" si="3"/>
        <v>-9.2981289999999994E-2</v>
      </c>
    </row>
    <row r="79" spans="1:12">
      <c r="A79">
        <v>1</v>
      </c>
      <c r="B79" s="2">
        <v>0.79940480000000003</v>
      </c>
      <c r="C79" s="2">
        <v>2.5936799999999999E-2</v>
      </c>
      <c r="D79" s="2">
        <v>-6.5200279999999999E-2</v>
      </c>
      <c r="H79" s="3">
        <f t="shared" si="2"/>
        <v>0.76334854833571608</v>
      </c>
      <c r="I79" s="3">
        <f t="shared" si="3"/>
        <v>-6.5200279999999999E-2</v>
      </c>
    </row>
    <row r="80" spans="1:12">
      <c r="A80">
        <v>1</v>
      </c>
      <c r="B80" s="2">
        <v>0.81732839999999995</v>
      </c>
      <c r="C80" s="2">
        <v>2.4304699999999999E-2</v>
      </c>
      <c r="D80" s="2">
        <v>-3.8951180000000002E-2</v>
      </c>
      <c r="H80" s="3">
        <f t="shared" si="2"/>
        <v>0.79089199007959099</v>
      </c>
      <c r="I80" s="3">
        <f t="shared" si="3"/>
        <v>-3.8951180000000002E-2</v>
      </c>
    </row>
    <row r="81" spans="1:12">
      <c r="A81">
        <v>1</v>
      </c>
      <c r="B81" s="2">
        <v>0.83427059999999997</v>
      </c>
      <c r="C81" s="2">
        <v>2.2661500000000001E-2</v>
      </c>
      <c r="D81" s="2">
        <v>-1.343885E-2</v>
      </c>
      <c r="H81" s="3">
        <f t="shared" si="2"/>
        <v>0.81692730099442279</v>
      </c>
      <c r="I81" s="3">
        <f t="shared" si="3"/>
        <v>-1.343885E-2</v>
      </c>
    </row>
    <row r="82" spans="1:12">
      <c r="A82">
        <v>1</v>
      </c>
      <c r="B82" s="2">
        <v>0.8501976</v>
      </c>
      <c r="C82" s="2">
        <v>2.1043699999999999E-2</v>
      </c>
      <c r="D82" s="2">
        <v>1.171267E-2</v>
      </c>
      <c r="H82" s="3">
        <f t="shared" si="2"/>
        <v>0.84140254015701832</v>
      </c>
      <c r="I82" s="3">
        <f t="shared" si="3"/>
        <v>1.171267E-2</v>
      </c>
    </row>
    <row r="83" spans="1:12">
      <c r="A83">
        <v>1</v>
      </c>
      <c r="B83" s="2">
        <v>0.86509510000000001</v>
      </c>
      <c r="C83" s="2">
        <v>1.9287200000000001E-2</v>
      </c>
      <c r="D83" s="2">
        <v>3.6678309999999999E-2</v>
      </c>
      <c r="H83" s="3">
        <f t="shared" si="2"/>
        <v>0.86429573256141135</v>
      </c>
      <c r="I83" s="3">
        <f t="shared" si="3"/>
        <v>3.6678309999999999E-2</v>
      </c>
    </row>
    <row r="84" spans="1:12">
      <c r="A84">
        <v>1</v>
      </c>
      <c r="B84" s="2">
        <v>0.87897069999999999</v>
      </c>
      <c r="C84" s="2">
        <v>1.70411E-2</v>
      </c>
      <c r="D84" s="2">
        <v>6.110521E-2</v>
      </c>
      <c r="H84" s="3">
        <f t="shared" si="2"/>
        <v>0.88561855723175165</v>
      </c>
      <c r="I84" s="3">
        <f t="shared" si="3"/>
        <v>6.110521E-2</v>
      </c>
    </row>
    <row r="85" spans="1:12">
      <c r="A85">
        <v>1</v>
      </c>
      <c r="B85" s="2">
        <v>0.89185519999999996</v>
      </c>
      <c r="C85" s="2">
        <v>1.41759E-2</v>
      </c>
      <c r="D85" s="2">
        <v>8.4863480000000005E-2</v>
      </c>
      <c r="H85" s="3">
        <f t="shared" si="2"/>
        <v>0.90541834495012052</v>
      </c>
      <c r="I85" s="3">
        <f t="shared" si="3"/>
        <v>8.4863480000000005E-2</v>
      </c>
    </row>
    <row r="86" spans="1:12">
      <c r="A86">
        <v>1</v>
      </c>
      <c r="B86" s="2">
        <v>0.90380470000000002</v>
      </c>
      <c r="C86" s="2">
        <v>1.08588E-2</v>
      </c>
      <c r="D86" s="2">
        <v>0.1072008</v>
      </c>
      <c r="H86" s="3">
        <f t="shared" si="2"/>
        <v>0.923781305355309</v>
      </c>
      <c r="I86" s="3">
        <f t="shared" si="3"/>
        <v>0.1072008</v>
      </c>
    </row>
    <row r="87" spans="1:12">
      <c r="A87">
        <v>1</v>
      </c>
      <c r="B87" s="2">
        <v>0.91490130000000003</v>
      </c>
      <c r="C87" s="2">
        <v>7.3227300000000004E-3</v>
      </c>
      <c r="D87" s="2">
        <v>0.12838040000000001</v>
      </c>
      <c r="H87" s="3">
        <f t="shared" si="2"/>
        <v>0.94083360264241001</v>
      </c>
      <c r="I87" s="3">
        <f t="shared" si="3"/>
        <v>0.12838040000000001</v>
      </c>
    </row>
    <row r="88" spans="1:12">
      <c r="A88">
        <v>1</v>
      </c>
      <c r="B88" s="2">
        <v>0.92525539999999995</v>
      </c>
      <c r="C88" s="2">
        <v>3.68849E-3</v>
      </c>
      <c r="D88" s="2">
        <v>0.14724080000000001</v>
      </c>
      <c r="H88" s="3">
        <f t="shared" si="2"/>
        <v>0.95674489000433804</v>
      </c>
      <c r="I88" s="3">
        <f t="shared" si="3"/>
        <v>0.14724080000000001</v>
      </c>
    </row>
    <row r="89" spans="1:12">
      <c r="A89">
        <v>1</v>
      </c>
      <c r="B89" s="2">
        <v>0.93500570000000005</v>
      </c>
      <c r="C89" s="2">
        <v>0</v>
      </c>
      <c r="D89" s="2">
        <v>0.165743</v>
      </c>
      <c r="H89" s="3">
        <f t="shared" si="2"/>
        <v>0.97172830963182955</v>
      </c>
      <c r="I89" s="3">
        <f t="shared" si="3"/>
        <v>0.165743</v>
      </c>
    </row>
    <row r="90" spans="1:12">
      <c r="A90">
        <v>1</v>
      </c>
      <c r="B90" s="2">
        <v>0.94432110000000002</v>
      </c>
      <c r="C90" s="2">
        <v>-3.68849E-3</v>
      </c>
      <c r="D90" s="2">
        <v>0.1793131</v>
      </c>
      <c r="H90" s="3">
        <f t="shared" si="2"/>
        <v>0.98604341246947902</v>
      </c>
      <c r="I90" s="3">
        <f t="shared" si="3"/>
        <v>0.1793131</v>
      </c>
    </row>
    <row r="91" spans="1:12">
      <c r="H91" s="6" t="s">
        <v>5</v>
      </c>
      <c r="I91" s="6"/>
      <c r="J91" s="7" t="s">
        <v>3</v>
      </c>
      <c r="K91" s="7"/>
      <c r="L91" s="7" t="s">
        <v>4</v>
      </c>
    </row>
    <row r="92" spans="1:12">
      <c r="H92" s="4">
        <v>2</v>
      </c>
      <c r="I92" s="3">
        <v>12</v>
      </c>
      <c r="J92" s="5">
        <v>0.94937000000000005</v>
      </c>
      <c r="K92" s="5">
        <v>-7.3499999999999998E-3</v>
      </c>
      <c r="L92" s="5">
        <v>0.14299000000000001</v>
      </c>
    </row>
    <row r="93" spans="1:12">
      <c r="H93" s="4">
        <v>2</v>
      </c>
      <c r="I93" s="3">
        <v>11</v>
      </c>
      <c r="J93" s="5">
        <v>0.81705000000000005</v>
      </c>
      <c r="K93" s="5">
        <v>-2.1819999999999999E-2</v>
      </c>
      <c r="L93" s="5">
        <v>-3.5908000000000002E-2</v>
      </c>
    </row>
    <row r="94" spans="1:12">
      <c r="H94" s="4">
        <v>2</v>
      </c>
      <c r="I94" s="3">
        <v>10</v>
      </c>
      <c r="J94" s="5">
        <v>0.66698000000000002</v>
      </c>
      <c r="K94" s="5">
        <v>-3.5790000000000002E-2</v>
      </c>
      <c r="L94" s="5">
        <v>-0.15139</v>
      </c>
    </row>
    <row r="95" spans="1:12">
      <c r="H95" s="4">
        <v>2</v>
      </c>
      <c r="I95" s="3">
        <v>9</v>
      </c>
      <c r="J95" s="5">
        <v>0.56705000000000005</v>
      </c>
      <c r="K95" s="5">
        <v>-4.2939999999999999E-2</v>
      </c>
      <c r="L95" s="5">
        <v>-0.22789000000000001</v>
      </c>
    </row>
    <row r="96" spans="1:12">
      <c r="H96" s="4">
        <v>2</v>
      </c>
      <c r="I96" s="3">
        <v>8</v>
      </c>
      <c r="J96" s="5">
        <v>0.46705999999999998</v>
      </c>
      <c r="K96" s="5">
        <v>-4.7690000000000003E-2</v>
      </c>
      <c r="L96" s="5">
        <v>-0.26861000000000002</v>
      </c>
    </row>
    <row r="97" spans="8:12">
      <c r="H97" s="4">
        <v>2</v>
      </c>
      <c r="I97" s="3">
        <v>7</v>
      </c>
      <c r="J97" s="5">
        <v>0.36704999999999999</v>
      </c>
      <c r="K97" s="5">
        <v>-4.8890000000000003E-2</v>
      </c>
      <c r="L97" s="5">
        <v>-0.23285</v>
      </c>
    </row>
    <row r="98" spans="8:12">
      <c r="H98" s="4">
        <v>2</v>
      </c>
      <c r="I98" s="3">
        <v>6</v>
      </c>
      <c r="J98" s="5">
        <v>0.26705000000000001</v>
      </c>
      <c r="K98" s="5">
        <v>-4.7059999999999998E-2</v>
      </c>
      <c r="L98" s="5">
        <v>-0.18059</v>
      </c>
    </row>
    <row r="99" spans="8:12">
      <c r="H99" s="4">
        <v>2</v>
      </c>
      <c r="I99" s="3">
        <v>5</v>
      </c>
      <c r="J99" s="5">
        <v>0.16699</v>
      </c>
      <c r="K99" s="5">
        <v>-4.2020000000000002E-2</v>
      </c>
      <c r="L99" s="5">
        <v>-0.13023000000000001</v>
      </c>
    </row>
    <row r="100" spans="8:12">
      <c r="H100" s="4">
        <v>2</v>
      </c>
      <c r="I100" s="3">
        <v>4</v>
      </c>
      <c r="J100" s="5">
        <v>4.9090000000000002E-2</v>
      </c>
      <c r="K100" s="5">
        <v>-2.9579999999999999E-2</v>
      </c>
      <c r="L100" s="5">
        <v>-4.4656000000000001E-2</v>
      </c>
    </row>
    <row r="101" spans="8:12">
      <c r="H101" s="4">
        <v>2</v>
      </c>
      <c r="I101" s="3">
        <v>3</v>
      </c>
      <c r="J101" s="5">
        <v>1.9220000000000001E-2</v>
      </c>
      <c r="K101" s="5">
        <v>-2.2419999999999999E-2</v>
      </c>
      <c r="L101" s="5">
        <v>-6.8050000000000003E-3</v>
      </c>
    </row>
    <row r="102" spans="8:12">
      <c r="H102" s="4">
        <v>2</v>
      </c>
      <c r="I102" s="3">
        <v>2</v>
      </c>
      <c r="J102" s="5">
        <v>5.1999999999999998E-3</v>
      </c>
      <c r="K102" s="5">
        <v>-1.261E-2</v>
      </c>
      <c r="L102" s="5">
        <v>0.56459000000000004</v>
      </c>
    </row>
    <row r="103" spans="8:12">
      <c r="H103" s="4">
        <v>2</v>
      </c>
      <c r="I103" s="3">
        <v>1</v>
      </c>
      <c r="J103" s="5">
        <v>3.1E-4</v>
      </c>
      <c r="K103" s="5">
        <v>2.7699999999999999E-3</v>
      </c>
      <c r="L103" s="5">
        <v>0.78052999999999995</v>
      </c>
    </row>
    <row r="104" spans="8:12">
      <c r="H104" s="4">
        <v>2</v>
      </c>
      <c r="I104" s="3">
        <v>34</v>
      </c>
      <c r="J104" s="5">
        <v>1.08E-3</v>
      </c>
      <c r="K104" s="5">
        <v>5.5300000000000002E-3</v>
      </c>
      <c r="L104" s="5">
        <v>0.38780999999999999</v>
      </c>
    </row>
    <row r="105" spans="8:12">
      <c r="H105" s="4">
        <v>2</v>
      </c>
      <c r="I105" s="3">
        <v>33</v>
      </c>
      <c r="J105" s="5">
        <v>7.8899999999999994E-3</v>
      </c>
      <c r="K105" s="5">
        <v>1.5310000000000001E-2</v>
      </c>
      <c r="L105" s="5">
        <v>-0.25602999999999998</v>
      </c>
    </row>
    <row r="106" spans="8:12">
      <c r="H106" s="4">
        <v>2</v>
      </c>
      <c r="I106" s="3">
        <v>32</v>
      </c>
      <c r="J106" s="5">
        <v>1.9060000000000001E-2</v>
      </c>
      <c r="K106" s="5">
        <v>2.232E-2</v>
      </c>
      <c r="L106" s="5">
        <v>-0.84167000000000003</v>
      </c>
    </row>
    <row r="107" spans="8:12">
      <c r="H107" s="4">
        <v>2</v>
      </c>
      <c r="I107" s="3">
        <v>31</v>
      </c>
      <c r="J107" s="5">
        <v>3.4020000000000002E-2</v>
      </c>
      <c r="K107" s="5">
        <v>2.674E-2</v>
      </c>
      <c r="L107" s="5">
        <v>-1.1274999999999999</v>
      </c>
    </row>
    <row r="108" spans="8:12">
      <c r="H108" s="4">
        <v>2</v>
      </c>
      <c r="I108" s="3">
        <v>30</v>
      </c>
      <c r="J108" s="5">
        <v>5.9110000000000003E-2</v>
      </c>
      <c r="K108" s="5">
        <v>3.1130000000000001E-2</v>
      </c>
      <c r="L108" s="5">
        <v>-1.0922000000000001</v>
      </c>
    </row>
    <row r="109" spans="8:12">
      <c r="H109" s="4">
        <v>2</v>
      </c>
      <c r="I109" s="3">
        <v>29</v>
      </c>
      <c r="J109" s="5">
        <v>9.9129999999999996E-2</v>
      </c>
      <c r="K109" s="5">
        <v>3.6130000000000002E-2</v>
      </c>
      <c r="L109" s="5">
        <v>-0.88885000000000003</v>
      </c>
    </row>
    <row r="110" spans="8:12">
      <c r="H110" s="4">
        <v>2</v>
      </c>
      <c r="I110" s="3">
        <v>28</v>
      </c>
      <c r="J110" s="5">
        <v>0.14927000000000001</v>
      </c>
      <c r="K110" s="5">
        <v>4.0710000000000003E-2</v>
      </c>
      <c r="L110" s="5">
        <v>-0.48757</v>
      </c>
    </row>
    <row r="111" spans="8:12">
      <c r="H111" s="4">
        <v>2</v>
      </c>
      <c r="I111" s="3">
        <v>27</v>
      </c>
      <c r="J111" s="5">
        <v>0.19908999999999999</v>
      </c>
      <c r="K111" s="5">
        <v>4.4049999999999999E-2</v>
      </c>
      <c r="L111" s="5">
        <v>-0.53837999999999997</v>
      </c>
    </row>
    <row r="112" spans="8:12">
      <c r="H112" s="4">
        <v>2</v>
      </c>
      <c r="I112" s="3">
        <v>26</v>
      </c>
      <c r="J112" s="5">
        <v>0.25080000000000002</v>
      </c>
      <c r="K112" s="5">
        <v>4.6489999999999997E-2</v>
      </c>
      <c r="L112" s="5">
        <v>-0.56135000000000002</v>
      </c>
    </row>
    <row r="113" spans="8:12">
      <c r="H113" s="4">
        <v>2</v>
      </c>
      <c r="I113" s="3">
        <v>25</v>
      </c>
      <c r="J113" s="5">
        <v>0.29925000000000002</v>
      </c>
      <c r="K113" s="5">
        <v>4.7980000000000002E-2</v>
      </c>
      <c r="L113" s="5">
        <v>-0.55871000000000004</v>
      </c>
    </row>
    <row r="114" spans="8:12">
      <c r="H114" s="4">
        <v>2</v>
      </c>
      <c r="I114" s="3">
        <v>24</v>
      </c>
      <c r="J114" s="5">
        <v>0.34927000000000002</v>
      </c>
      <c r="K114" s="5">
        <v>4.8779999999999997E-2</v>
      </c>
      <c r="L114" s="5">
        <v>-0.57989999999999997</v>
      </c>
    </row>
    <row r="115" spans="8:12">
      <c r="H115" s="4">
        <v>2</v>
      </c>
      <c r="I115" s="3">
        <v>23</v>
      </c>
      <c r="J115" s="5">
        <v>0.39931</v>
      </c>
      <c r="K115" s="5">
        <v>4.8860000000000001E-2</v>
      </c>
      <c r="L115" s="5">
        <v>-0.61441000000000001</v>
      </c>
    </row>
    <row r="116" spans="8:12">
      <c r="H116" s="4">
        <v>2</v>
      </c>
      <c r="I116" s="3">
        <v>22</v>
      </c>
      <c r="J116" s="5">
        <v>0.44896999999999998</v>
      </c>
      <c r="K116" s="5">
        <v>4.8149999999999998E-2</v>
      </c>
      <c r="L116" s="5">
        <v>-0.64705000000000001</v>
      </c>
    </row>
    <row r="117" spans="8:12">
      <c r="H117" s="4">
        <v>2</v>
      </c>
      <c r="I117" s="3">
        <v>21</v>
      </c>
      <c r="J117" s="5">
        <v>0.49926999999999999</v>
      </c>
      <c r="K117" s="5">
        <v>4.6519999999999999E-2</v>
      </c>
      <c r="L117" s="5">
        <v>-0.70106999999999997</v>
      </c>
    </row>
    <row r="118" spans="8:12">
      <c r="H118" s="4">
        <v>2</v>
      </c>
      <c r="I118" s="3">
        <v>20</v>
      </c>
      <c r="J118" s="5">
        <v>0.54927000000000004</v>
      </c>
      <c r="K118" s="5">
        <v>4.3979999999999998E-2</v>
      </c>
      <c r="L118" s="5">
        <v>-0.37418000000000001</v>
      </c>
    </row>
    <row r="119" spans="8:12">
      <c r="H119" s="4">
        <v>2</v>
      </c>
      <c r="I119" s="3">
        <v>19</v>
      </c>
      <c r="J119" s="5">
        <v>0.59931000000000001</v>
      </c>
      <c r="K119" s="5">
        <v>4.0829999999999998E-2</v>
      </c>
      <c r="L119" s="5">
        <v>-0.26268999999999998</v>
      </c>
    </row>
    <row r="120" spans="8:12">
      <c r="H120" s="4">
        <v>2</v>
      </c>
      <c r="I120" s="3">
        <v>18</v>
      </c>
      <c r="J120" s="5">
        <v>0.64917000000000002</v>
      </c>
      <c r="K120" s="5">
        <v>3.7190000000000001E-2</v>
      </c>
      <c r="L120" s="5">
        <v>-0.21299999999999999</v>
      </c>
    </row>
    <row r="121" spans="8:12">
      <c r="H121" s="4">
        <v>2</v>
      </c>
      <c r="I121" s="3">
        <v>17</v>
      </c>
      <c r="J121" s="5">
        <v>0.70896999999999999</v>
      </c>
      <c r="K121" s="5">
        <v>3.2289999999999999E-2</v>
      </c>
      <c r="L121" s="5">
        <v>-0.15087</v>
      </c>
    </row>
    <row r="122" spans="8:12">
      <c r="H122" s="4">
        <v>2</v>
      </c>
      <c r="I122" s="3">
        <v>16</v>
      </c>
      <c r="J122" s="5">
        <v>0.77912000000000003</v>
      </c>
      <c r="K122" s="5">
        <v>2.572E-2</v>
      </c>
      <c r="L122" s="5">
        <v>-8.0609E-2</v>
      </c>
    </row>
    <row r="123" spans="8:12">
      <c r="H123" s="4">
        <v>2</v>
      </c>
      <c r="I123" s="3">
        <v>15</v>
      </c>
      <c r="J123" s="5">
        <v>0.84902999999999995</v>
      </c>
      <c r="K123" s="5">
        <v>1.8259999999999998E-2</v>
      </c>
      <c r="L123" s="5">
        <v>9.8210999999999993E-3</v>
      </c>
    </row>
    <row r="124" spans="8:12">
      <c r="H124" s="4">
        <v>2</v>
      </c>
      <c r="I124" s="3">
        <v>14</v>
      </c>
      <c r="J124" s="5">
        <v>0.91929000000000005</v>
      </c>
      <c r="K124" s="5">
        <v>1.0319999999999999E-2</v>
      </c>
      <c r="L124" s="5">
        <v>0.10893</v>
      </c>
    </row>
    <row r="125" spans="8:12">
      <c r="H125" s="4">
        <v>2</v>
      </c>
      <c r="I125" s="3">
        <v>13</v>
      </c>
      <c r="J125" s="5">
        <v>0.98387000000000002</v>
      </c>
      <c r="K125" s="5">
        <v>2.8300000000000001E-3</v>
      </c>
      <c r="L125" s="5">
        <v>0.21145</v>
      </c>
    </row>
  </sheetData>
  <sortState xmlns:xlrd2="http://schemas.microsoft.com/office/spreadsheetml/2017/richdata2" ref="A47:D90">
    <sortCondition ref="B47:B90"/>
  </sortState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section_022</vt:lpstr>
      <vt:lpstr>section_044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박원빈</cp:lastModifiedBy>
  <dcterms:created xsi:type="dcterms:W3CDTF">2025-11-12T06:32:45Z</dcterms:created>
  <dcterms:modified xsi:type="dcterms:W3CDTF">2025-11-13T02:35:46Z</dcterms:modified>
</cp:coreProperties>
</file>